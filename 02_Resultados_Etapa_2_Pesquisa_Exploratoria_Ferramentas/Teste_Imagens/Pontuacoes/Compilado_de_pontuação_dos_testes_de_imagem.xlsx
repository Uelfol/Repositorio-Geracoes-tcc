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ão" sheetId="1" r:id="rId5"/>
    <sheet state="visible" name="Flow Studio Nano banana Pro" sheetId="2" r:id="rId6"/>
    <sheet state="visible" name="Gemini Nano Banana Pro" sheetId="3" r:id="rId7"/>
    <sheet state="visible" name="KlingAI" sheetId="4" r:id="rId8"/>
    <sheet state="visible" name="Juggernaut XL" sheetId="5" r:id="rId9"/>
    <sheet state="visible" name="CHEYENNE" sheetId="6" r:id="rId10"/>
    <sheet state="visible" name="NetaYume Lumina - ComfyUI" sheetId="7" r:id="rId11"/>
  </sheets>
  <definedNames/>
  <calcPr/>
</workbook>
</file>

<file path=xl/sharedStrings.xml><?xml version="1.0" encoding="utf-8"?>
<sst xmlns="http://schemas.openxmlformats.org/spreadsheetml/2006/main" count="327" uniqueCount="64">
  <si>
    <t>Pontuação Média da IA</t>
  </si>
  <si>
    <t>Nota Final (%)</t>
  </si>
  <si>
    <t>Pontos Totais (max 71)</t>
  </si>
  <si>
    <t>IA consegue gerar Texto?</t>
  </si>
  <si>
    <t>o texo é legivel?</t>
  </si>
  <si>
    <t>Resolução</t>
  </si>
  <si>
    <t>Qualidade Visual</t>
  </si>
  <si>
    <t>Enquadramento</t>
  </si>
  <si>
    <t>Alinhamento Prompt</t>
  </si>
  <si>
    <t>Alucinações</t>
  </si>
  <si>
    <t>Tamanho Prompt</t>
  </si>
  <si>
    <t>Gemini Nano Banana Pro</t>
  </si>
  <si>
    <t>Flow Stuido Nano Banana Pro</t>
  </si>
  <si>
    <t>KlingAi</t>
  </si>
  <si>
    <t>NetaYume Lumina - ComfyUI</t>
  </si>
  <si>
    <t>Juggernaut XL</t>
  </si>
  <si>
    <t>_CHEYENNE_</t>
  </si>
  <si>
    <t>Adicionar coluna para identificar se o prompt pediu para gerar algo na imagem contendo texto</t>
  </si>
  <si>
    <t xml:space="preserve">Se o prompt pediu e ela não gerou </t>
  </si>
  <si>
    <t>Avaliar se a IA gerou um texto na imagem, mas o prompt não pediu para gerar texto</t>
  </si>
  <si>
    <t>Verificar se o texto é relevante, se for, e o texto estiver errado uma penalização é cabivel, se não, não vale penalizar. (exemplo manifestação com cartaz).</t>
  </si>
  <si>
    <t>Nome do Teste</t>
  </si>
  <si>
    <t>Tem Texto?</t>
  </si>
  <si>
    <t>Teste 1 - Personagem Pinkbob de frente - 15/12/2025</t>
  </si>
  <si>
    <t>Teste 2 - Personagem Pinkbob de lado - 15/12/2025</t>
  </si>
  <si>
    <t>Teste 3 - Personagem Pinkbob de costas - 15/12/2025</t>
  </si>
  <si>
    <t>Teste 1 - Personagem2 Barba Rosa de frente - 15/12/2025</t>
  </si>
  <si>
    <t>Teste 2 - Personagem2 Barba Rosa de lado - 15/12/2025</t>
  </si>
  <si>
    <t>Teste 3 - Personagem2 Barba Rosa de costas - 15/12/2025</t>
  </si>
  <si>
    <t>Teste 1 - Personagem3 João de frente - 16/12/2025</t>
  </si>
  <si>
    <t>Teste 2 - Personagem3 João de lado - 16/12/2025</t>
  </si>
  <si>
    <t>Teste 3 - Personagem3 João de costas - 16/12/2025</t>
  </si>
  <si>
    <t>Teste 1 - Objeto bussola de frente - 18/12/2025</t>
  </si>
  <si>
    <t>Teste 2 - Objeto bussola de lado - 18/12/2025</t>
  </si>
  <si>
    <t>Teste 3 - Objeto bussola de costas - 18/12/2025</t>
  </si>
  <si>
    <t>Teste 1 - Objeto2 mesa de frente - 18/12/2025</t>
  </si>
  <si>
    <t>Teste 2 - Objeto2 mesa de lado - 18/12/2025</t>
  </si>
  <si>
    <t>Teste 3 - Objeto2 mesa de costas - 18/12/2025</t>
  </si>
  <si>
    <t>Teste 1 - Objeto3 espada pirata de frente - 23/12/2025</t>
  </si>
  <si>
    <t>Teste 2 - Objeto3 espada pirata de lado - 23/12/2025</t>
  </si>
  <si>
    <t>Teste 3 - Objeto3 espada pirata de costas - 23/12/2025</t>
  </si>
  <si>
    <t>Teste 1 - Cenário Cabine Barba Rosa 2D - 25/12/2025</t>
  </si>
  <si>
    <t>Teste 2 - Cenário Cabine Barba Rosa 2D Isométrico - 25/12/2025</t>
  </si>
  <si>
    <t>Teste 3 - Cenário Cabine Barba Rosa 2D de cima - 25/12/2025</t>
  </si>
  <si>
    <t>Teste 1 - Cenário2 Bar Pirata 2D - 26/12/2025</t>
  </si>
  <si>
    <t>Teste 2 - Cenário2 Bar Pirata 2D Isométrico - 26/12/2025</t>
  </si>
  <si>
    <t>Teste 3 - Cenário2 Bar Pirata 2D de cima - 26/12/2025</t>
  </si>
  <si>
    <t>Teste 1 - Cenário3 Centro da cidade 2D - 26/12/2025</t>
  </si>
  <si>
    <t>Teste 2 - Cenário3 Centro da cidade Isométrico - 26/12/2025</t>
  </si>
  <si>
    <t>Teste 3 - Cenário3 Centro da cidade 2D de cima - 26/12/2025</t>
  </si>
  <si>
    <t>Teste 1 - Textura de madeira - 26/12/2025</t>
  </si>
  <si>
    <t>Teste 2 - Textura de mar/oceano - 26/12/2025</t>
  </si>
  <si>
    <t>Teste 2 - Textura de parede com padrao que repete - 26/12/2025</t>
  </si>
  <si>
    <t>Teste 1 - Arte da capa - 28/12/2025</t>
  </si>
  <si>
    <t>Teste 2 - Arte da tela de configurações - 28/12/2025</t>
  </si>
  <si>
    <t>Teste 3 - Arte da tela de ajuda - 28/12/2025</t>
  </si>
  <si>
    <t>Teste 1 - Botão - 29/12/2025</t>
  </si>
  <si>
    <t>Teste 2 - Inventário - 29/12/2025</t>
  </si>
  <si>
    <t>Teste 3 - Cursor - 29/12/2025</t>
  </si>
  <si>
    <t>Médias</t>
  </si>
  <si>
    <t>0 é que tem alucinação e 5 não tem</t>
  </si>
  <si>
    <t>Max de pontos</t>
  </si>
  <si>
    <t>Pesos</t>
  </si>
  <si>
    <t>0 é que tem muita alucinação e 5 não tem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</si>
</sst>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sz val="12.0"/>
      <color theme="1"/>
      <name val="Calibri"/>
    </font>
    <font>
      <sz val="12.0"/>
      <color rgb="FF000000"/>
      <name val="Calibri"/>
    </font>
    <font>
      <color theme="1"/>
      <name val="Arial"/>
      <scheme val="minor"/>
    </font>
    <font>
      <color rgb="FF434343"/>
      <name val="Roboto"/>
    </font>
    <font>
      <sz val="12.0"/>
      <color rgb="FF434343"/>
      <name val="Calibri"/>
    </font>
    <font>
      <sz val="12.0"/>
      <color rgb="FF2A3243"/>
      <name val="Calibri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CD9D4"/>
        <bgColor rgb="FFCCD9D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CCD9D4"/>
      </left>
      <right style="thin">
        <color rgb="FFCCD9D4"/>
      </right>
      <top>
        <color rgb="FF284E3F"/>
      </top>
      <bottom style="thin">
        <color rgb="FF284E3F"/>
      </bottom>
    </border>
    <border>
      <left style="thin">
        <color rgb="FFCCD9D4"/>
      </left>
      <right style="thin">
        <color rgb="FF284E3F"/>
      </right>
      <top>
        <color rgb="FF284E3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1" fillId="0" fontId="2" numFmtId="2" xfId="0" applyAlignment="1" applyBorder="1" applyFont="1" applyNumberFormat="1">
      <alignment readingOrder="0" shrinkToFit="0" vertical="bottom" wrapText="0"/>
    </xf>
    <xf borderId="2" fillId="0" fontId="2" numFmtId="2" xfId="0" applyAlignment="1" applyBorder="1" applyFont="1" applyNumberFormat="1">
      <alignment readingOrder="0"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2" fontId="1" numFmtId="2" xfId="0" applyAlignment="1" applyFill="1" applyFont="1" applyNumberFormat="1">
      <alignment shrinkToFit="0" vertical="bottom" wrapText="0"/>
    </xf>
    <xf borderId="0" fillId="0" fontId="2" numFmtId="2" xfId="0" applyAlignment="1" applyFont="1" applyNumberFormat="1">
      <alignment readingOrder="0" shrinkToFit="0" vertical="bottom" wrapText="0"/>
    </xf>
    <xf borderId="0" fillId="3" fontId="3" numFmtId="0" xfId="0" applyFill="1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3" fillId="4" fontId="3" numFmtId="0" xfId="0" applyAlignment="1" applyBorder="1" applyFill="1" applyFont="1">
      <alignment readingOrder="0"/>
    </xf>
    <xf borderId="3" fillId="0" fontId="3" numFmtId="0" xfId="0" applyBorder="1" applyFont="1"/>
    <xf borderId="3" fillId="0" fontId="3" numFmtId="0" xfId="0" applyAlignment="1" applyBorder="1" applyFont="1">
      <alignment readingOrder="0"/>
    </xf>
    <xf borderId="4" fillId="5" fontId="1" numFmtId="0" xfId="0" applyAlignment="1" applyBorder="1" applyFill="1" applyFont="1">
      <alignment horizontal="right" shrinkToFit="0" vertical="bottom" wrapText="0"/>
    </xf>
    <xf borderId="5" fillId="5" fontId="1" numFmtId="0" xfId="0" applyAlignment="1" applyBorder="1" applyFont="1">
      <alignment horizontal="right" shrinkToFit="0" vertical="bottom" wrapText="0"/>
    </xf>
    <xf borderId="4" fillId="5" fontId="1" numFmtId="0" xfId="0" applyAlignment="1" applyBorder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center" wrapText="0"/>
    </xf>
    <xf borderId="4" fillId="5" fontId="4" numFmtId="0" xfId="0" applyAlignment="1" applyBorder="1" applyFont="1">
      <alignment horizontal="right" shrinkToFit="0" vertical="center" wrapText="0"/>
    </xf>
    <xf borderId="4" fillId="5" fontId="4" numFmtId="0" xfId="0" applyAlignment="1" applyBorder="1" applyFont="1">
      <alignment horizontal="right" readingOrder="0" shrinkToFit="0" vertical="center" wrapText="0"/>
    </xf>
    <xf borderId="4" fillId="5" fontId="5" numFmtId="0" xfId="0" applyAlignment="1" applyBorder="1" applyFont="1">
      <alignment horizontal="right" shrinkToFit="0" vertical="bottom" wrapText="0"/>
    </xf>
    <xf borderId="4" fillId="5" fontId="5" numFmtId="0" xfId="0" applyAlignment="1" applyBorder="1" applyFont="1">
      <alignment horizontal="right" readingOrder="0" shrinkToFit="0" vertical="bottom" wrapText="0"/>
    </xf>
    <xf borderId="4" fillId="6" fontId="5" numFmtId="0" xfId="0" applyAlignment="1" applyBorder="1" applyFill="1" applyFont="1">
      <alignment horizontal="right" shrinkToFit="0" vertical="bottom" wrapText="0"/>
    </xf>
    <xf borderId="4" fillId="6" fontId="5" numFmtId="0" xfId="0" applyAlignment="1" applyBorder="1" applyFont="1">
      <alignment horizontal="right" readingOrder="0" shrinkToFit="0" vertical="bottom" wrapText="0"/>
    </xf>
    <xf borderId="4" fillId="6" fontId="4" numFmtId="0" xfId="0" applyAlignment="1" applyBorder="1" applyFont="1">
      <alignment horizontal="right" readingOrder="0" shrinkToFit="0" vertical="center" wrapText="0"/>
    </xf>
    <xf borderId="6" fillId="5" fontId="1" numFmtId="0" xfId="0" applyAlignment="1" applyBorder="1" applyFont="1">
      <alignment shrinkToFit="0" vertical="bottom" wrapText="0"/>
    </xf>
    <xf borderId="4" fillId="5" fontId="1" numFmtId="164" xfId="0" applyAlignment="1" applyBorder="1" applyFont="1" applyNumberFormat="1">
      <alignment horizontal="right" shrinkToFit="0" vertical="bottom" wrapText="0"/>
    </xf>
    <xf borderId="4" fillId="5" fontId="6" numFmtId="0" xfId="0" applyAlignment="1" applyBorder="1" applyFont="1">
      <alignment horizontal="center" shrinkToFit="0" vertical="bottom" wrapText="0"/>
    </xf>
    <xf borderId="5" fillId="5" fontId="5" numFmtId="0" xfId="0" applyAlignment="1" applyBorder="1" applyFont="1">
      <alignment horizontal="right" shrinkToFit="0" vertical="bottom" wrapText="0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</dxfs>
  <tableStyles count="7">
    <tableStyle count="4" pivot="0" name="Resumã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Flow Studio Nano banana Pro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Gemini Nano Banana Pro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KlingAI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Juggernaut XL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CHEYENNE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NetaYume Lumina - ComfyUI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8" displayName="Resumão" name="Resumão" id="1">
  <tableColumns count="11">
    <tableColumn name="Pontuação Média da IA" id="1"/>
    <tableColumn name="Nota Final (%)" id="2"/>
    <tableColumn name="Pontos Totais (max 71)" id="3"/>
    <tableColumn name="IA consegue gerar Texto?" id="4"/>
    <tableColumn name="o texo é legivel?" id="5"/>
    <tableColumn name="Resolução" id="6"/>
    <tableColumn name="Qualidade Visual" id="7"/>
    <tableColumn name="Enquadramento" id="8"/>
    <tableColumn name="Alinhamento Prompt" id="9"/>
    <tableColumn name="Alucinações" id="10"/>
    <tableColumn name="Tamanho Prompt" id="11"/>
  </tableColumns>
  <tableStyleInfo name="Resumão-style" showColumnStripes="0" showFirstColumn="1" showLastColumn="1" showRowStripes="1"/>
</table>
</file>

<file path=xl/tables/table2.xml><?xml version="1.0" encoding="utf-8"?>
<table xmlns="http://schemas.openxmlformats.org/spreadsheetml/2006/main" totalsRowCount="1" ref="A1:K38" displayName="Tabela_1" name="Tabela_1" id="2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Flow Studio Nano banana Pro-style" showColumnStripes="0" showFirstColumn="1" showLastColumn="1" showRowStripes="1"/>
</table>
</file>

<file path=xl/tables/table3.xml><?xml version="1.0" encoding="utf-8"?>
<table xmlns="http://schemas.openxmlformats.org/spreadsheetml/2006/main" totalsRowCount="1" ref="A1:K38" displayName="Tabela" name="Tabela" id="3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Gemini Nano Banana Pro-style" showColumnStripes="0" showFirstColumn="1" showLastColumn="1" showRowStripes="1"/>
</table>
</file>

<file path=xl/tables/table4.xml><?xml version="1.0" encoding="utf-8"?>
<table xmlns="http://schemas.openxmlformats.org/spreadsheetml/2006/main" totalsRowCount="1" ref="A1:K38" displayName="Tabela_2" name="Tabela_2" id="4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KlingAI-style" showColumnStripes="0" showFirstColumn="1" showLastColumn="1" showRowStripes="1"/>
</table>
</file>

<file path=xl/tables/table5.xml><?xml version="1.0" encoding="utf-8"?>
<table xmlns="http://schemas.openxmlformats.org/spreadsheetml/2006/main" totalsRowCount="1" ref="A1:K38" displayName="Tabela_3" name="Tabela_3" id="5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Juggernaut XL-style" showColumnStripes="0" showFirstColumn="1" showLastColumn="1" showRowStripes="1"/>
</table>
</file>

<file path=xl/tables/table6.xml><?xml version="1.0" encoding="utf-8"?>
<table xmlns="http://schemas.openxmlformats.org/spreadsheetml/2006/main" totalsRowCount="1" ref="A1:K38" displayName="Tabela_4" name="Tabela_4" id="6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CHEYENNE-style" showColumnStripes="0" showFirstColumn="1" showLastColumn="1" showRowStripes="1"/>
</table>
</file>

<file path=xl/tables/table7.xml><?xml version="1.0" encoding="utf-8"?>
<table xmlns="http://schemas.openxmlformats.org/spreadsheetml/2006/main" totalsRowCount="1" ref="A1:K38" displayName="Tabela_5" name="Tabela_5" id="7">
  <tableColumns count="11">
    <tableColumn totalsRowLabel="Médias" name="Nome do Teste" id="1"/>
    <tableColumn totalsRowFunction="custom" name="Nota Final (%)" id="2"/>
    <tableColumn totalsRowFunction="custom" name="Pontos Totais (max 71)" id="3"/>
    <tableColumn name="Tem Texto?" id="4"/>
    <tableColumn totalsRowFunction="custom" name="o texo é legivel?" id="5"/>
    <tableColumn totalsRowFunction="custom" name="Resolução" id="6"/>
    <tableColumn totalsRowFunction="custom" name="Qualidade Visual" id="7"/>
    <tableColumn totalsRowFunction="custom" name="Enquadramento" id="8"/>
    <tableColumn totalsRowFunction="custom" name="Alinhamento Prompt" id="9"/>
    <tableColumn totalsRowFunction="custom" name="Alucinações" id="10"/>
    <tableColumn totalsRowFunction="custom" name="Tamanho Prompt" id="11"/>
  </tableColumns>
  <tableStyleInfo name="NetaYume Lumina - ComfyU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25"/>
    <col customWidth="1" min="2" max="2" width="20.13"/>
    <col customWidth="1" min="3" max="3" width="28.0"/>
    <col customWidth="1" min="4" max="4" width="24.75"/>
    <col customWidth="1" min="5" max="5" width="17.0"/>
    <col customWidth="1" min="6" max="6" width="22.38"/>
    <col customWidth="1" min="7" max="7" width="26.13"/>
    <col customWidth="1" min="8" max="8" width="21.88"/>
    <col customWidth="1" min="9" max="9" width="26.63"/>
    <col customWidth="1" min="10" max="10" width="25.75"/>
    <col customWidth="1" min="11" max="11" width="16.13"/>
  </cols>
  <sheetData>
    <row r="2" ht="22.5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ht="22.5" customHeight="1">
      <c r="A3" s="2" t="s">
        <v>11</v>
      </c>
      <c r="B3" s="3">
        <f>MEDIAN(Tabela[[#TOTALS],[Nota Final (%)]])</f>
        <v>83.09859155</v>
      </c>
      <c r="C3" s="4">
        <f>MEDIAN(Tabela[[#TOTALS],[Pontos Totais (max 71)]])</f>
        <v>59</v>
      </c>
      <c r="D3" s="5" t="b">
        <v>1</v>
      </c>
      <c r="E3" s="6">
        <f>AVERAGE(Tabela[o texo é legivel?])</f>
        <v>1.638888889</v>
      </c>
      <c r="F3" s="6">
        <f>AVERAGE(Tabela[Resolução])</f>
        <v>3.944444444</v>
      </c>
      <c r="G3" s="6">
        <f>AVERAGE(Tabela[Qualidade Visual])</f>
        <v>4.972222222</v>
      </c>
      <c r="H3" s="6">
        <f>AVERAGE(Tabela[Enquadramento])</f>
        <v>5</v>
      </c>
      <c r="I3" s="6">
        <f>AVERAGE(Tabela[Alinhamento Prompt])</f>
        <v>4.444444444</v>
      </c>
      <c r="J3" s="6">
        <f>MEDIAN(Tabela[Alucinações])</f>
        <v>5</v>
      </c>
      <c r="K3" s="7">
        <f>AVERAGE(Tabela[Tamanho Prompt])</f>
        <v>5</v>
      </c>
    </row>
    <row r="4" ht="22.5" customHeight="1">
      <c r="A4" s="2" t="s">
        <v>12</v>
      </c>
      <c r="B4" s="3">
        <f>MEDIAN(Tabela_1[Nota Final (%)])</f>
        <v>81.69014085</v>
      </c>
      <c r="C4" s="4">
        <f>MEDIAN(Tabela_1[Pontos Totais (max 71)])</f>
        <v>58</v>
      </c>
      <c r="D4" s="5" t="b">
        <v>1</v>
      </c>
      <c r="E4" s="8">
        <f>AVERAGE('Flow Studio Nano banana Pro'!$E$2:$E$37)</f>
        <v>1.472222222</v>
      </c>
      <c r="F4" s="8">
        <f>AVERAGE('Flow Studio Nano banana Pro'!$F$2:$F$37)</f>
        <v>3</v>
      </c>
      <c r="G4" s="8">
        <f>AVERAGE('Flow Studio Nano banana Pro'!$G$2:$G$37)</f>
        <v>4.944444444</v>
      </c>
      <c r="H4" s="8">
        <f>AVERAGE('Flow Studio Nano banana Pro'!$H$2:$H$37)</f>
        <v>5</v>
      </c>
      <c r="I4" s="8">
        <f>AVERAGE('Flow Studio Nano banana Pro'!$I$2:$I$37)</f>
        <v>4.75</v>
      </c>
      <c r="J4" s="8">
        <f>MEDIAN('Flow Studio Nano banana Pro'!$J$2:$J$37)</f>
        <v>5</v>
      </c>
      <c r="K4" s="8">
        <f>AVERAGE('Flow Studio Nano banana Pro'!$K$2:$K$37)</f>
        <v>5</v>
      </c>
    </row>
    <row r="5" ht="22.5" customHeight="1">
      <c r="A5" s="2" t="s">
        <v>13</v>
      </c>
      <c r="B5" s="3">
        <f>MEDIAN(Tabela_2[[#TOTALS],[Nota Final (%)]])</f>
        <v>76.05633803</v>
      </c>
      <c r="C5" s="4">
        <f>MEDIAN(Tabela_2[[#TOTALS],[Pontos Totais (max 71)]])</f>
        <v>54</v>
      </c>
      <c r="D5" s="5" t="b">
        <v>1</v>
      </c>
      <c r="E5" s="9">
        <f>AVERAGE(KlingAI!$E$2:$E$37)</f>
        <v>0.8333333333</v>
      </c>
      <c r="F5" s="9">
        <f>AVERAGE(KlingAI!$F$2:$F$37)</f>
        <v>4</v>
      </c>
      <c r="G5" s="9">
        <f>AVERAGE(KlingAI!$G$2:$G$37)</f>
        <v>5</v>
      </c>
      <c r="H5" s="9">
        <f>AVERAGE(KlingAI!$H$2:$H$37)</f>
        <v>5</v>
      </c>
      <c r="I5" s="9">
        <f>AVERAGE(KlingAI!$I$2:$I$37)</f>
        <v>4.361111111</v>
      </c>
      <c r="J5" s="9">
        <f>MEDIAN(KlingAI!$J$2:$J$37)</f>
        <v>4</v>
      </c>
      <c r="K5" s="9">
        <f>AVERAGE(KlingAI!$K$2:$K$37)</f>
        <v>4</v>
      </c>
    </row>
    <row r="6" ht="22.5" customHeight="1">
      <c r="A6" s="2" t="s">
        <v>14</v>
      </c>
      <c r="B6" s="3">
        <f>MEDIAN(Tabela_5[Nota Final (%)])</f>
        <v>65.49295775</v>
      </c>
      <c r="C6" s="4">
        <f>MEDIAN(Tabela_5[Pontos Totais (max 71)])</f>
        <v>46.5</v>
      </c>
      <c r="D6" s="5" t="b">
        <v>1</v>
      </c>
      <c r="E6" s="10">
        <f>AVERAGE(Tabela_5[o texo é legivel?])</f>
        <v>0.3611111111</v>
      </c>
      <c r="F6" s="10">
        <f>AVERAGE(Tabela_5[Resolução])</f>
        <v>3</v>
      </c>
      <c r="G6" s="10">
        <f>AVERAGE(Tabela_5[Qualidade Visual])</f>
        <v>4.333333333</v>
      </c>
      <c r="H6" s="10">
        <f>AVERAGE(Tabela_5[Enquadramento])</f>
        <v>4.75</v>
      </c>
      <c r="I6" s="10">
        <f>AVERAGE(Tabela_5[Alinhamento Prompt])</f>
        <v>3.638888889</v>
      </c>
      <c r="J6" s="10">
        <f>MEDIAN(Tabela_5[Alucinações])</f>
        <v>3</v>
      </c>
      <c r="K6" s="10">
        <f>AVERAGE(Tabela_5[Tamanho Prompt])</f>
        <v>5</v>
      </c>
    </row>
    <row r="7" ht="22.5" customHeight="1">
      <c r="A7" s="2" t="s">
        <v>15</v>
      </c>
      <c r="B7" s="3">
        <f>MEDIAN(Tabela_3[Nota Final (%)])</f>
        <v>54.22535211</v>
      </c>
      <c r="C7" s="4">
        <f>MEDIAN(Tabela_3[Pontos Totais (max 71)])</f>
        <v>38.5</v>
      </c>
      <c r="D7" s="5" t="b">
        <v>1</v>
      </c>
      <c r="E7" s="10">
        <f>AVERAGE(Tabela_3[o texo é legivel?])</f>
        <v>0.1111111111</v>
      </c>
      <c r="F7" s="10">
        <f>AVERAGE(Tabela_3[Resolução])</f>
        <v>3</v>
      </c>
      <c r="G7" s="10">
        <f>AVERAGE(Tabela_3[Qualidade Visual])</f>
        <v>3.888888889</v>
      </c>
      <c r="H7" s="10">
        <f>AVERAGE(Tabela_3[Enquadramento])</f>
        <v>5</v>
      </c>
      <c r="I7" s="10">
        <f>AVERAGE(Tabela_3[Alinhamento Prompt])</f>
        <v>2.444444444</v>
      </c>
      <c r="J7" s="10">
        <f>MEDIAN(Tabela_3[Alucinações])</f>
        <v>2</v>
      </c>
      <c r="K7" s="10">
        <f>AVERAGE(Tabela_3[Tamanho Prompt])</f>
        <v>5</v>
      </c>
    </row>
    <row r="8" ht="22.5" customHeight="1">
      <c r="A8" s="2" t="s">
        <v>16</v>
      </c>
      <c r="B8" s="3">
        <f>MEDIAN(Tabela_4[Nota Final (%)])</f>
        <v>47.88732394</v>
      </c>
      <c r="C8" s="4">
        <f>MEDIAN(Tabela_4[Pontos Totais (max 71)])</f>
        <v>34</v>
      </c>
      <c r="D8" s="5" t="b">
        <v>0</v>
      </c>
      <c r="E8" s="10">
        <f>AVERAGE(Tabela_4[o texo é legivel?])</f>
        <v>0</v>
      </c>
      <c r="F8" s="10">
        <f>AVERAGE(Tabela_4[Resolução])</f>
        <v>3</v>
      </c>
      <c r="G8" s="10">
        <f>AVERAGE(Tabela_4[Qualidade Visual])</f>
        <v>3.361111111</v>
      </c>
      <c r="H8" s="10">
        <f>AVERAGE(Tabela_4[Enquadramento])</f>
        <v>3.805555556</v>
      </c>
      <c r="I8" s="10">
        <f>AVERAGE(Tabela_4[Alinhamento Prompt])</f>
        <v>1.916666667</v>
      </c>
      <c r="J8" s="10">
        <f>MEDIAN(Tabela_4[Alucinações])</f>
        <v>2</v>
      </c>
      <c r="K8" s="10">
        <f>AVERAGE(Tabela_4[Tamanho Prompt])</f>
        <v>5</v>
      </c>
    </row>
    <row r="10">
      <c r="D10" s="11"/>
    </row>
    <row r="11">
      <c r="D11" s="12" t="s">
        <v>17</v>
      </c>
    </row>
    <row r="12">
      <c r="D12" s="12" t="s">
        <v>18</v>
      </c>
    </row>
    <row r="13">
      <c r="D13" s="12" t="s">
        <v>19</v>
      </c>
    </row>
    <row r="14">
      <c r="D14" s="12" t="s">
        <v>20</v>
      </c>
    </row>
  </sheetData>
  <dataValidations>
    <dataValidation type="list" allowBlank="1" sqref="D3:D8">
      <formula1>"True,False"</formula1>
    </dataValidation>
    <dataValidation type="custom" allowBlank="1" showDropDown="1" sqref="B3:C8 E3:K8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97.18309859</v>
      </c>
      <c r="C2" s="15">
        <f t="shared" ref="C2:C37" si="1">IF(D2, 1, 0) + (E2 * E49) + (F2 * F49) + (G2 * G49) + (H2 * H49) + (I2 * I49) + (J2 * J49) + (K2 * K49)</f>
        <v>69</v>
      </c>
      <c r="D2" s="16" t="b">
        <v>1</v>
      </c>
      <c r="E2" s="15">
        <v>5.0</v>
      </c>
      <c r="F2" s="15">
        <v>3.0</v>
      </c>
      <c r="G2" s="15">
        <v>5.0</v>
      </c>
      <c r="H2" s="15">
        <v>5.0</v>
      </c>
      <c r="I2" s="15">
        <v>5.0</v>
      </c>
      <c r="J2" s="15">
        <v>5.0</v>
      </c>
      <c r="K2" s="15">
        <v>5.0</v>
      </c>
    </row>
    <row r="3" ht="22.5" customHeight="1">
      <c r="A3" s="13" t="s">
        <v>24</v>
      </c>
      <c r="B3" s="14">
        <f>C3/B49 * 100</f>
        <v>97.18309859</v>
      </c>
      <c r="C3" s="15">
        <f t="shared" si="1"/>
        <v>69</v>
      </c>
      <c r="D3" s="16" t="b">
        <v>1</v>
      </c>
      <c r="E3" s="15">
        <v>5.0</v>
      </c>
      <c r="F3" s="15">
        <v>3.0</v>
      </c>
      <c r="G3" s="15">
        <v>5.0</v>
      </c>
      <c r="H3" s="15">
        <v>5.0</v>
      </c>
      <c r="I3" s="15">
        <v>5.0</v>
      </c>
      <c r="J3" s="15">
        <v>5.0</v>
      </c>
      <c r="K3" s="15">
        <v>5.0</v>
      </c>
    </row>
    <row r="4" ht="22.5" customHeight="1">
      <c r="A4" s="13" t="s">
        <v>25</v>
      </c>
      <c r="B4" s="14">
        <f>C4/B49 * 100</f>
        <v>97.18309859</v>
      </c>
      <c r="C4" s="15">
        <f t="shared" si="1"/>
        <v>69</v>
      </c>
      <c r="D4" s="16" t="b">
        <v>1</v>
      </c>
      <c r="E4" s="15">
        <v>5.0</v>
      </c>
      <c r="F4" s="15">
        <v>3.0</v>
      </c>
      <c r="G4" s="15">
        <v>5.0</v>
      </c>
      <c r="H4" s="15">
        <v>5.0</v>
      </c>
      <c r="I4" s="15">
        <v>5.0</v>
      </c>
      <c r="J4" s="15">
        <v>5.0</v>
      </c>
      <c r="K4" s="15">
        <v>5.0</v>
      </c>
    </row>
    <row r="5" ht="22.5" customHeight="1">
      <c r="A5" s="13" t="s">
        <v>26</v>
      </c>
      <c r="B5" s="14">
        <f>C5/B49 * 100</f>
        <v>77.46478873</v>
      </c>
      <c r="C5" s="15">
        <f t="shared" si="1"/>
        <v>55</v>
      </c>
      <c r="D5" s="16" t="b">
        <v>0</v>
      </c>
      <c r="E5" s="15">
        <v>0.0</v>
      </c>
      <c r="F5" s="15">
        <v>3.0</v>
      </c>
      <c r="G5" s="15">
        <v>5.0</v>
      </c>
      <c r="H5" s="15">
        <v>5.0</v>
      </c>
      <c r="I5" s="15">
        <v>4.0</v>
      </c>
      <c r="J5" s="15">
        <v>5.0</v>
      </c>
      <c r="K5" s="15">
        <v>5.0</v>
      </c>
    </row>
    <row r="6" ht="22.5" customHeight="1">
      <c r="A6" s="13" t="s">
        <v>27</v>
      </c>
      <c r="B6" s="14">
        <f>C6/B49 * 100</f>
        <v>77.46478873</v>
      </c>
      <c r="C6" s="15">
        <f t="shared" si="1"/>
        <v>55</v>
      </c>
      <c r="D6" s="16" t="b">
        <v>0</v>
      </c>
      <c r="E6" s="15">
        <v>0.0</v>
      </c>
      <c r="F6" s="15">
        <v>3.0</v>
      </c>
      <c r="G6" s="15">
        <v>5.0</v>
      </c>
      <c r="H6" s="15">
        <v>5.0</v>
      </c>
      <c r="I6" s="15">
        <v>4.0</v>
      </c>
      <c r="J6" s="15">
        <v>5.0</v>
      </c>
      <c r="K6" s="15">
        <v>5.0</v>
      </c>
    </row>
    <row r="7" ht="22.5" customHeight="1">
      <c r="A7" s="13" t="s">
        <v>28</v>
      </c>
      <c r="B7" s="14">
        <f>C7/B49 * 100</f>
        <v>81.69014085</v>
      </c>
      <c r="C7" s="15">
        <f t="shared" si="1"/>
        <v>58</v>
      </c>
      <c r="D7" s="16" t="b">
        <v>0</v>
      </c>
      <c r="E7" s="15">
        <v>0.0</v>
      </c>
      <c r="F7" s="15">
        <v>3.0</v>
      </c>
      <c r="G7" s="15">
        <v>5.0</v>
      </c>
      <c r="H7" s="15">
        <v>5.0</v>
      </c>
      <c r="I7" s="15">
        <v>5.0</v>
      </c>
      <c r="J7" s="15">
        <v>5.0</v>
      </c>
      <c r="K7" s="15">
        <v>5.0</v>
      </c>
    </row>
    <row r="8" ht="22.5" customHeight="1">
      <c r="A8" s="13" t="s">
        <v>29</v>
      </c>
      <c r="B8" s="14">
        <f>C8/B49 * 100</f>
        <v>81.69014085</v>
      </c>
      <c r="C8" s="15">
        <f t="shared" si="1"/>
        <v>58</v>
      </c>
      <c r="D8" s="16" t="b">
        <v>0</v>
      </c>
      <c r="E8" s="15">
        <v>0.0</v>
      </c>
      <c r="F8" s="15">
        <v>3.0</v>
      </c>
      <c r="G8" s="15">
        <v>5.0</v>
      </c>
      <c r="H8" s="15">
        <v>5.0</v>
      </c>
      <c r="I8" s="15">
        <v>5.0</v>
      </c>
      <c r="J8" s="15">
        <v>5.0</v>
      </c>
      <c r="K8" s="15">
        <v>5.0</v>
      </c>
    </row>
    <row r="9" ht="22.5" customHeight="1">
      <c r="A9" s="13" t="s">
        <v>30</v>
      </c>
      <c r="B9" s="14">
        <f>C9/B49 * 100</f>
        <v>78.87323944</v>
      </c>
      <c r="C9" s="15">
        <f t="shared" si="1"/>
        <v>56</v>
      </c>
      <c r="D9" s="16" t="b">
        <v>0</v>
      </c>
      <c r="E9" s="15">
        <v>0.0</v>
      </c>
      <c r="F9" s="15">
        <v>3.0</v>
      </c>
      <c r="G9" s="15">
        <v>4.0</v>
      </c>
      <c r="H9" s="15">
        <v>5.0</v>
      </c>
      <c r="I9" s="15">
        <v>5.0</v>
      </c>
      <c r="J9" s="15">
        <v>5.0</v>
      </c>
      <c r="K9" s="15">
        <v>5.0</v>
      </c>
    </row>
    <row r="10" ht="22.5" customHeight="1">
      <c r="A10" s="13" t="s">
        <v>31</v>
      </c>
      <c r="B10" s="14">
        <f>C10/B49 * 100</f>
        <v>77.46478873</v>
      </c>
      <c r="C10" s="15">
        <f t="shared" si="1"/>
        <v>55</v>
      </c>
      <c r="D10" s="16" t="b">
        <v>0</v>
      </c>
      <c r="E10" s="15">
        <v>0.0</v>
      </c>
      <c r="F10" s="15">
        <v>3.0</v>
      </c>
      <c r="G10" s="15">
        <v>5.0</v>
      </c>
      <c r="H10" s="15">
        <v>5.0</v>
      </c>
      <c r="I10" s="15">
        <v>4.0</v>
      </c>
      <c r="J10" s="15">
        <v>5.0</v>
      </c>
      <c r="K10" s="15">
        <v>5.0</v>
      </c>
    </row>
    <row r="11" ht="22.5" customHeight="1">
      <c r="A11" s="13" t="s">
        <v>32</v>
      </c>
      <c r="B11" s="14">
        <f>C11/B49 * 100</f>
        <v>97.18309859</v>
      </c>
      <c r="C11" s="15">
        <f t="shared" si="1"/>
        <v>69</v>
      </c>
      <c r="D11" s="16" t="b">
        <v>1</v>
      </c>
      <c r="E11" s="15">
        <v>5.0</v>
      </c>
      <c r="F11" s="15">
        <v>3.0</v>
      </c>
      <c r="G11" s="15">
        <v>5.0</v>
      </c>
      <c r="H11" s="15">
        <v>5.0</v>
      </c>
      <c r="I11" s="15">
        <v>5.0</v>
      </c>
      <c r="J11" s="15">
        <v>5.0</v>
      </c>
      <c r="K11" s="15">
        <v>5.0</v>
      </c>
    </row>
    <row r="12" ht="22.5" customHeight="1">
      <c r="A12" s="13" t="s">
        <v>33</v>
      </c>
      <c r="B12" s="14">
        <f>C12/B49 * 100</f>
        <v>81.69014085</v>
      </c>
      <c r="C12" s="15">
        <f t="shared" si="1"/>
        <v>58</v>
      </c>
      <c r="D12" s="16" t="b">
        <v>0</v>
      </c>
      <c r="E12" s="15">
        <v>0.0</v>
      </c>
      <c r="F12" s="15">
        <v>3.0</v>
      </c>
      <c r="G12" s="15">
        <v>5.0</v>
      </c>
      <c r="H12" s="15">
        <v>5.0</v>
      </c>
      <c r="I12" s="15">
        <v>5.0</v>
      </c>
      <c r="J12" s="15">
        <v>5.0</v>
      </c>
      <c r="K12" s="15">
        <v>5.0</v>
      </c>
    </row>
    <row r="13" ht="22.5" customHeight="1">
      <c r="A13" s="13" t="s">
        <v>34</v>
      </c>
      <c r="B13" s="14">
        <f>C13/B49 * 100</f>
        <v>81.69014085</v>
      </c>
      <c r="C13" s="15">
        <f t="shared" si="1"/>
        <v>58</v>
      </c>
      <c r="D13" s="16" t="b">
        <v>0</v>
      </c>
      <c r="E13" s="15">
        <v>0.0</v>
      </c>
      <c r="F13" s="15">
        <v>3.0</v>
      </c>
      <c r="G13" s="15">
        <v>5.0</v>
      </c>
      <c r="H13" s="15">
        <v>5.0</v>
      </c>
      <c r="I13" s="15">
        <v>5.0</v>
      </c>
      <c r="J13" s="15">
        <v>5.0</v>
      </c>
      <c r="K13" s="15">
        <v>5.0</v>
      </c>
    </row>
    <row r="14" ht="22.5" customHeight="1">
      <c r="A14" s="13" t="s">
        <v>35</v>
      </c>
      <c r="B14" s="14">
        <f>C14/B49 * 100</f>
        <v>81.69014085</v>
      </c>
      <c r="C14" s="15">
        <f t="shared" si="1"/>
        <v>58</v>
      </c>
      <c r="D14" s="16" t="b">
        <v>0</v>
      </c>
      <c r="E14" s="15">
        <v>0.0</v>
      </c>
      <c r="F14" s="15">
        <v>3.0</v>
      </c>
      <c r="G14" s="15">
        <v>5.0</v>
      </c>
      <c r="H14" s="15">
        <v>5.0</v>
      </c>
      <c r="I14" s="15">
        <v>5.0</v>
      </c>
      <c r="J14" s="15">
        <v>5.0</v>
      </c>
      <c r="K14" s="15">
        <v>5.0</v>
      </c>
    </row>
    <row r="15" ht="22.5" customHeight="1">
      <c r="A15" s="13" t="s">
        <v>36</v>
      </c>
      <c r="B15" s="14">
        <f>C15/B49 * 100</f>
        <v>77.46478873</v>
      </c>
      <c r="C15" s="15">
        <f t="shared" si="1"/>
        <v>55</v>
      </c>
      <c r="D15" s="16" t="b">
        <v>0</v>
      </c>
      <c r="E15" s="15">
        <v>0.0</v>
      </c>
      <c r="F15" s="15">
        <v>3.0</v>
      </c>
      <c r="G15" s="15">
        <v>5.0</v>
      </c>
      <c r="H15" s="15">
        <v>5.0</v>
      </c>
      <c r="I15" s="15">
        <v>4.0</v>
      </c>
      <c r="J15" s="15">
        <v>5.0</v>
      </c>
      <c r="K15" s="15">
        <v>5.0</v>
      </c>
    </row>
    <row r="16" ht="22.5" customHeight="1">
      <c r="A16" s="13" t="s">
        <v>37</v>
      </c>
      <c r="B16" s="14">
        <f>C16/B49 * 100</f>
        <v>77.46478873</v>
      </c>
      <c r="C16" s="15">
        <f t="shared" si="1"/>
        <v>55</v>
      </c>
      <c r="D16" s="16" t="b">
        <v>0</v>
      </c>
      <c r="E16" s="15">
        <v>0.0</v>
      </c>
      <c r="F16" s="15">
        <v>3.0</v>
      </c>
      <c r="G16" s="15">
        <v>5.0</v>
      </c>
      <c r="H16" s="15">
        <v>5.0</v>
      </c>
      <c r="I16" s="15">
        <v>4.0</v>
      </c>
      <c r="J16" s="15">
        <v>5.0</v>
      </c>
      <c r="K16" s="15">
        <v>5.0</v>
      </c>
    </row>
    <row r="17" ht="22.5" customHeight="1">
      <c r="A17" s="13" t="s">
        <v>38</v>
      </c>
      <c r="B17" s="14">
        <f>C17/B49 * 100</f>
        <v>77.46478873</v>
      </c>
      <c r="C17" s="15">
        <f t="shared" si="1"/>
        <v>55</v>
      </c>
      <c r="D17" s="16" t="b">
        <v>0</v>
      </c>
      <c r="E17" s="15">
        <v>0.0</v>
      </c>
      <c r="F17" s="15">
        <v>3.0</v>
      </c>
      <c r="G17" s="15">
        <v>5.0</v>
      </c>
      <c r="H17" s="15">
        <v>5.0</v>
      </c>
      <c r="I17" s="15">
        <v>4.0</v>
      </c>
      <c r="J17" s="15">
        <v>5.0</v>
      </c>
      <c r="K17" s="15">
        <v>5.0</v>
      </c>
    </row>
    <row r="18" ht="22.5" customHeight="1">
      <c r="A18" s="13" t="s">
        <v>39</v>
      </c>
      <c r="B18" s="14">
        <f>C18/B49 * 100</f>
        <v>77.46478873</v>
      </c>
      <c r="C18" s="15">
        <f t="shared" si="1"/>
        <v>55</v>
      </c>
      <c r="D18" s="16" t="b">
        <v>0</v>
      </c>
      <c r="E18" s="15">
        <v>0.0</v>
      </c>
      <c r="F18" s="15">
        <v>3.0</v>
      </c>
      <c r="G18" s="15">
        <v>5.0</v>
      </c>
      <c r="H18" s="15">
        <v>5.0</v>
      </c>
      <c r="I18" s="15">
        <v>4.0</v>
      </c>
      <c r="J18" s="15">
        <v>5.0</v>
      </c>
      <c r="K18" s="15">
        <v>5.0</v>
      </c>
    </row>
    <row r="19" ht="22.5" customHeight="1">
      <c r="A19" s="13" t="s">
        <v>40</v>
      </c>
      <c r="B19" s="14">
        <f>C19/B49 * 100</f>
        <v>81.69014085</v>
      </c>
      <c r="C19" s="15">
        <f t="shared" si="1"/>
        <v>58</v>
      </c>
      <c r="D19" s="16" t="b">
        <v>0</v>
      </c>
      <c r="E19" s="15">
        <v>0.0</v>
      </c>
      <c r="F19" s="15">
        <v>3.0</v>
      </c>
      <c r="G19" s="15">
        <v>5.0</v>
      </c>
      <c r="H19" s="15">
        <v>5.0</v>
      </c>
      <c r="I19" s="15">
        <v>5.0</v>
      </c>
      <c r="J19" s="15">
        <v>5.0</v>
      </c>
      <c r="K19" s="15">
        <v>5.0</v>
      </c>
    </row>
    <row r="20" ht="22.5" customHeight="1">
      <c r="A20" s="13" t="s">
        <v>41</v>
      </c>
      <c r="B20" s="14">
        <f>C20/B49 * 100</f>
        <v>81.69014085</v>
      </c>
      <c r="C20" s="15">
        <f t="shared" si="1"/>
        <v>58</v>
      </c>
      <c r="D20" s="16" t="b">
        <v>0</v>
      </c>
      <c r="E20" s="15">
        <v>0.0</v>
      </c>
      <c r="F20" s="15">
        <v>3.0</v>
      </c>
      <c r="G20" s="15">
        <v>5.0</v>
      </c>
      <c r="H20" s="15">
        <v>5.0</v>
      </c>
      <c r="I20" s="15">
        <v>5.0</v>
      </c>
      <c r="J20" s="15">
        <v>5.0</v>
      </c>
      <c r="K20" s="15">
        <v>5.0</v>
      </c>
    </row>
    <row r="21" ht="22.5" customHeight="1">
      <c r="A21" s="13" t="s">
        <v>42</v>
      </c>
      <c r="B21" s="14">
        <f>C21/B49 * 100</f>
        <v>77.46478873</v>
      </c>
      <c r="C21" s="15">
        <f t="shared" si="1"/>
        <v>55</v>
      </c>
      <c r="D21" s="16" t="b">
        <v>0</v>
      </c>
      <c r="E21" s="15">
        <v>0.0</v>
      </c>
      <c r="F21" s="15">
        <v>3.0</v>
      </c>
      <c r="G21" s="15">
        <v>5.0</v>
      </c>
      <c r="H21" s="15">
        <v>5.0</v>
      </c>
      <c r="I21" s="15">
        <v>4.0</v>
      </c>
      <c r="J21" s="15">
        <v>5.0</v>
      </c>
      <c r="K21" s="15">
        <v>5.0</v>
      </c>
    </row>
    <row r="22" ht="22.5" customHeight="1">
      <c r="A22" s="13" t="s">
        <v>43</v>
      </c>
      <c r="B22" s="14">
        <f>C22/B49 * 100</f>
        <v>81.69014085</v>
      </c>
      <c r="C22" s="15">
        <f t="shared" si="1"/>
        <v>58</v>
      </c>
      <c r="D22" s="16" t="b">
        <v>0</v>
      </c>
      <c r="E22" s="15">
        <v>0.0</v>
      </c>
      <c r="F22" s="15">
        <v>3.0</v>
      </c>
      <c r="G22" s="15">
        <v>5.0</v>
      </c>
      <c r="H22" s="15">
        <v>5.0</v>
      </c>
      <c r="I22" s="15">
        <v>5.0</v>
      </c>
      <c r="J22" s="15">
        <v>5.0</v>
      </c>
      <c r="K22" s="15">
        <v>5.0</v>
      </c>
    </row>
    <row r="23" ht="22.5" customHeight="1">
      <c r="A23" s="13" t="s">
        <v>44</v>
      </c>
      <c r="B23" s="14">
        <f>C23/B49 * 100</f>
        <v>81.69014085</v>
      </c>
      <c r="C23" s="15">
        <f t="shared" si="1"/>
        <v>58</v>
      </c>
      <c r="D23" s="16" t="b">
        <v>0</v>
      </c>
      <c r="E23" s="15">
        <v>0.0</v>
      </c>
      <c r="F23" s="15">
        <v>3.0</v>
      </c>
      <c r="G23" s="15">
        <v>5.0</v>
      </c>
      <c r="H23" s="15">
        <v>5.0</v>
      </c>
      <c r="I23" s="15">
        <v>5.0</v>
      </c>
      <c r="J23" s="15">
        <v>5.0</v>
      </c>
      <c r="K23" s="15">
        <v>5.0</v>
      </c>
    </row>
    <row r="24" ht="22.5" customHeight="1">
      <c r="A24" s="13" t="s">
        <v>45</v>
      </c>
      <c r="B24" s="14">
        <f>C24/B49 * 100</f>
        <v>81.69014085</v>
      </c>
      <c r="C24" s="15">
        <f t="shared" si="1"/>
        <v>58</v>
      </c>
      <c r="D24" s="16" t="b">
        <v>0</v>
      </c>
      <c r="E24" s="15">
        <v>0.0</v>
      </c>
      <c r="F24" s="15">
        <v>3.0</v>
      </c>
      <c r="G24" s="15">
        <v>5.0</v>
      </c>
      <c r="H24" s="15">
        <v>5.0</v>
      </c>
      <c r="I24" s="15">
        <v>5.0</v>
      </c>
      <c r="J24" s="15">
        <v>5.0</v>
      </c>
      <c r="K24" s="15">
        <v>5.0</v>
      </c>
    </row>
    <row r="25" ht="22.5" customHeight="1">
      <c r="A25" s="13" t="s">
        <v>46</v>
      </c>
      <c r="B25" s="14">
        <f>C25/B49 * 100</f>
        <v>81.69014085</v>
      </c>
      <c r="C25" s="15">
        <f t="shared" si="1"/>
        <v>58</v>
      </c>
      <c r="D25" s="16" t="b">
        <v>0</v>
      </c>
      <c r="E25" s="15">
        <v>0.0</v>
      </c>
      <c r="F25" s="15">
        <v>3.0</v>
      </c>
      <c r="G25" s="15">
        <v>5.0</v>
      </c>
      <c r="H25" s="15">
        <v>5.0</v>
      </c>
      <c r="I25" s="15">
        <v>5.0</v>
      </c>
      <c r="J25" s="15">
        <v>5.0</v>
      </c>
      <c r="K25" s="15">
        <v>5.0</v>
      </c>
    </row>
    <row r="26" ht="22.5" customHeight="1">
      <c r="A26" s="13" t="s">
        <v>47</v>
      </c>
      <c r="B26" s="14">
        <f>C26/B49 * 100</f>
        <v>97.18309859</v>
      </c>
      <c r="C26" s="15">
        <f t="shared" si="1"/>
        <v>69</v>
      </c>
      <c r="D26" s="16" t="b">
        <v>1</v>
      </c>
      <c r="E26" s="15">
        <v>5.0</v>
      </c>
      <c r="F26" s="15">
        <v>3.0</v>
      </c>
      <c r="G26" s="15">
        <v>5.0</v>
      </c>
      <c r="H26" s="15">
        <v>5.0</v>
      </c>
      <c r="I26" s="15">
        <v>5.0</v>
      </c>
      <c r="J26" s="15">
        <v>5.0</v>
      </c>
      <c r="K26" s="15">
        <v>5.0</v>
      </c>
    </row>
    <row r="27" ht="22.5" customHeight="1">
      <c r="A27" s="13" t="s">
        <v>48</v>
      </c>
      <c r="B27" s="14">
        <f>C27/B49 * 100</f>
        <v>97.18309859</v>
      </c>
      <c r="C27" s="15">
        <f t="shared" si="1"/>
        <v>69</v>
      </c>
      <c r="D27" s="16" t="b">
        <v>1</v>
      </c>
      <c r="E27" s="15">
        <v>5.0</v>
      </c>
      <c r="F27" s="15">
        <v>3.0</v>
      </c>
      <c r="G27" s="15">
        <v>5.0</v>
      </c>
      <c r="H27" s="15">
        <v>5.0</v>
      </c>
      <c r="I27" s="15">
        <v>5.0</v>
      </c>
      <c r="J27" s="15">
        <v>5.0</v>
      </c>
      <c r="K27" s="15">
        <v>5.0</v>
      </c>
    </row>
    <row r="28" ht="22.5" customHeight="1">
      <c r="A28" s="13" t="s">
        <v>49</v>
      </c>
      <c r="B28" s="14">
        <f>C28/B49 * 100</f>
        <v>90.14084507</v>
      </c>
      <c r="C28" s="15">
        <f t="shared" si="1"/>
        <v>64</v>
      </c>
      <c r="D28" s="16" t="b">
        <v>1</v>
      </c>
      <c r="E28" s="15">
        <v>4.0</v>
      </c>
      <c r="F28" s="15">
        <v>3.0</v>
      </c>
      <c r="G28" s="15">
        <v>5.0</v>
      </c>
      <c r="H28" s="15">
        <v>5.0</v>
      </c>
      <c r="I28" s="15">
        <v>4.0</v>
      </c>
      <c r="J28" s="15">
        <v>5.0</v>
      </c>
      <c r="K28" s="15">
        <v>5.0</v>
      </c>
    </row>
    <row r="29" ht="22.5" customHeight="1">
      <c r="A29" s="13" t="s">
        <v>50</v>
      </c>
      <c r="B29" s="14">
        <f>C29/B49 * 100</f>
        <v>81.69014085</v>
      </c>
      <c r="C29" s="15">
        <f t="shared" si="1"/>
        <v>58</v>
      </c>
      <c r="D29" s="16" t="b">
        <v>0</v>
      </c>
      <c r="E29" s="15">
        <v>0.0</v>
      </c>
      <c r="F29" s="15">
        <v>3.0</v>
      </c>
      <c r="G29" s="15">
        <v>5.0</v>
      </c>
      <c r="H29" s="15">
        <v>5.0</v>
      </c>
      <c r="I29" s="15">
        <v>5.0</v>
      </c>
      <c r="J29" s="15">
        <v>5.0</v>
      </c>
      <c r="K29" s="15">
        <v>5.0</v>
      </c>
    </row>
    <row r="30" ht="22.5" customHeight="1">
      <c r="A30" s="13" t="s">
        <v>51</v>
      </c>
      <c r="B30" s="14">
        <f>C30/B49 * 100</f>
        <v>81.69014085</v>
      </c>
      <c r="C30" s="15">
        <f t="shared" si="1"/>
        <v>58</v>
      </c>
      <c r="D30" s="16" t="b">
        <v>0</v>
      </c>
      <c r="E30" s="15">
        <v>0.0</v>
      </c>
      <c r="F30" s="15">
        <v>3.0</v>
      </c>
      <c r="G30" s="15">
        <v>5.0</v>
      </c>
      <c r="H30" s="15">
        <v>5.0</v>
      </c>
      <c r="I30" s="15">
        <v>5.0</v>
      </c>
      <c r="J30" s="15">
        <v>5.0</v>
      </c>
      <c r="K30" s="15">
        <v>5.0</v>
      </c>
    </row>
    <row r="31" ht="22.5" customHeight="1">
      <c r="A31" s="13" t="s">
        <v>52</v>
      </c>
      <c r="B31" s="14">
        <f>C31/B49 * 100</f>
        <v>81.69014085</v>
      </c>
      <c r="C31" s="15">
        <f t="shared" si="1"/>
        <v>58</v>
      </c>
      <c r="D31" s="16" t="b">
        <v>0</v>
      </c>
      <c r="E31" s="15">
        <v>0.0</v>
      </c>
      <c r="F31" s="15">
        <v>3.0</v>
      </c>
      <c r="G31" s="15">
        <v>5.0</v>
      </c>
      <c r="H31" s="15">
        <v>5.0</v>
      </c>
      <c r="I31" s="15">
        <v>5.0</v>
      </c>
      <c r="J31" s="15">
        <v>5.0</v>
      </c>
      <c r="K31" s="15">
        <v>5.0</v>
      </c>
    </row>
    <row r="32" ht="22.5" customHeight="1">
      <c r="A32" s="13" t="s">
        <v>53</v>
      </c>
      <c r="B32" s="14">
        <f>C32/B49 * 100</f>
        <v>85.91549296</v>
      </c>
      <c r="C32" s="15">
        <f t="shared" si="1"/>
        <v>61</v>
      </c>
      <c r="D32" s="16" t="b">
        <v>1</v>
      </c>
      <c r="E32" s="15">
        <v>5.0</v>
      </c>
      <c r="F32" s="15">
        <v>3.0</v>
      </c>
      <c r="G32" s="15">
        <v>4.0</v>
      </c>
      <c r="H32" s="15">
        <v>5.0</v>
      </c>
      <c r="I32" s="15">
        <v>5.0</v>
      </c>
      <c r="J32" s="15">
        <v>3.0</v>
      </c>
      <c r="K32" s="15">
        <v>5.0</v>
      </c>
    </row>
    <row r="33" ht="22.5" customHeight="1">
      <c r="A33" s="13" t="s">
        <v>54</v>
      </c>
      <c r="B33" s="14">
        <f>C33/B49 * 100</f>
        <v>92.95774648</v>
      </c>
      <c r="C33" s="15">
        <f t="shared" si="1"/>
        <v>66</v>
      </c>
      <c r="D33" s="16" t="b">
        <v>1</v>
      </c>
      <c r="E33" s="15">
        <v>5.0</v>
      </c>
      <c r="F33" s="15">
        <v>3.0</v>
      </c>
      <c r="G33" s="15">
        <v>5.0</v>
      </c>
      <c r="H33" s="15">
        <v>5.0</v>
      </c>
      <c r="I33" s="15">
        <v>5.0</v>
      </c>
      <c r="J33" s="15">
        <v>4.0</v>
      </c>
      <c r="K33" s="15">
        <v>5.0</v>
      </c>
    </row>
    <row r="34" ht="22.5" customHeight="1">
      <c r="A34" s="13" t="s">
        <v>55</v>
      </c>
      <c r="B34" s="14">
        <f>C34/B49 * 100</f>
        <v>94.36619718</v>
      </c>
      <c r="C34" s="15">
        <f t="shared" si="1"/>
        <v>67</v>
      </c>
      <c r="D34" s="16" t="b">
        <v>1</v>
      </c>
      <c r="E34" s="15">
        <v>4.0</v>
      </c>
      <c r="F34" s="15">
        <v>3.0</v>
      </c>
      <c r="G34" s="15">
        <v>5.0</v>
      </c>
      <c r="H34" s="15">
        <v>5.0</v>
      </c>
      <c r="I34" s="15">
        <v>5.0</v>
      </c>
      <c r="J34" s="15">
        <v>5.0</v>
      </c>
      <c r="K34" s="15">
        <v>5.0</v>
      </c>
    </row>
    <row r="35" ht="22.5" customHeight="1">
      <c r="A35" s="13" t="s">
        <v>56</v>
      </c>
      <c r="B35" s="14">
        <f>C35/B49 * 100</f>
        <v>97.18309859</v>
      </c>
      <c r="C35" s="15">
        <f t="shared" si="1"/>
        <v>69</v>
      </c>
      <c r="D35" s="16" t="b">
        <v>1</v>
      </c>
      <c r="E35" s="15">
        <v>5.0</v>
      </c>
      <c r="F35" s="15">
        <v>3.0</v>
      </c>
      <c r="G35" s="15">
        <v>5.0</v>
      </c>
      <c r="H35" s="15">
        <v>5.0</v>
      </c>
      <c r="I35" s="15">
        <v>5.0</v>
      </c>
      <c r="J35" s="15">
        <v>5.0</v>
      </c>
      <c r="K35" s="15">
        <v>5.0</v>
      </c>
    </row>
    <row r="36" ht="22.5" customHeight="1">
      <c r="A36" s="13" t="s">
        <v>57</v>
      </c>
      <c r="B36" s="14">
        <f>C36/B49 * 100</f>
        <v>81.69014085</v>
      </c>
      <c r="C36" s="15">
        <f t="shared" si="1"/>
        <v>58</v>
      </c>
      <c r="D36" s="16" t="b">
        <v>0</v>
      </c>
      <c r="E36" s="15">
        <v>0.0</v>
      </c>
      <c r="F36" s="15">
        <v>3.0</v>
      </c>
      <c r="G36" s="15">
        <v>5.0</v>
      </c>
      <c r="H36" s="15">
        <v>5.0</v>
      </c>
      <c r="I36" s="15">
        <v>5.0</v>
      </c>
      <c r="J36" s="15">
        <v>5.0</v>
      </c>
      <c r="K36" s="15">
        <v>5.0</v>
      </c>
    </row>
    <row r="37" ht="22.5" customHeight="1">
      <c r="A37" s="13" t="s">
        <v>58</v>
      </c>
      <c r="B37" s="14">
        <f>C37/B49 * 100</f>
        <v>81.69014085</v>
      </c>
      <c r="C37" s="15">
        <f t="shared" si="1"/>
        <v>58</v>
      </c>
      <c r="D37" s="16" t="b">
        <v>0</v>
      </c>
      <c r="E37" s="15">
        <v>0.0</v>
      </c>
      <c r="F37" s="15">
        <v>3.0</v>
      </c>
      <c r="G37" s="15">
        <v>5.0</v>
      </c>
      <c r="H37" s="15">
        <v>5.0</v>
      </c>
      <c r="I37" s="15">
        <v>5.0</v>
      </c>
      <c r="J37" s="15">
        <v>5.0</v>
      </c>
      <c r="K37" s="15">
        <v>5.0</v>
      </c>
    </row>
    <row r="38" ht="22.5" customHeight="1">
      <c r="A38" s="2" t="s">
        <v>59</v>
      </c>
      <c r="B38" s="3">
        <f>MEDIAN(Tabela_1[Nota Final (%)])</f>
        <v>81.69014085</v>
      </c>
      <c r="C38" s="4">
        <f>MEDIAN(Tabela_1[Pontos Totais (max 71)])</f>
        <v>58</v>
      </c>
      <c r="D38" s="2"/>
      <c r="E38" s="3">
        <f>AVERAGE(Tabela_1[o texo é legivel?])</f>
        <v>1.472222222</v>
      </c>
      <c r="F38" s="4">
        <f>AVERAGE(Tabela_1[Resolução])</f>
        <v>3</v>
      </c>
      <c r="G38" s="3">
        <f>AVERAGE(Tabela_1[Qualidade Visual])</f>
        <v>4.944444444</v>
      </c>
      <c r="H38" s="4">
        <f>AVERAGE(Tabela_1[Enquadramento])</f>
        <v>5</v>
      </c>
      <c r="I38" s="3">
        <f>AVERAGE(Tabela_1[Alinhamento Prompt])</f>
        <v>4.75</v>
      </c>
      <c r="J38" s="4">
        <f>MEDIAN(Tabela_1[Alucinações])</f>
        <v>5</v>
      </c>
      <c r="K38" s="4">
        <f>AVERAGE(Tabela_1[Tamanho Prompt])</f>
        <v>5</v>
      </c>
    </row>
    <row r="40">
      <c r="J40" s="12" t="s">
        <v>60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90.14084507</v>
      </c>
      <c r="C2" s="15">
        <f t="shared" ref="C2:C37" si="1">IF(D2, 1, 0) + (E2 * E49) + (F2 * F49) + (G2 * G49) + (H2 * H49) + (I2 * I49) + (J2 * J49) + (K2 * K49)</f>
        <v>64</v>
      </c>
      <c r="D2" s="16" t="b">
        <v>1</v>
      </c>
      <c r="E2" s="20">
        <v>5.0</v>
      </c>
      <c r="F2" s="20">
        <v>4.0</v>
      </c>
      <c r="G2" s="20">
        <v>5.0</v>
      </c>
      <c r="H2" s="20">
        <v>5.0</v>
      </c>
      <c r="I2" s="20">
        <v>4.0</v>
      </c>
      <c r="J2" s="20">
        <v>4.0</v>
      </c>
      <c r="K2" s="21">
        <v>5.0</v>
      </c>
    </row>
    <row r="3" ht="22.5" customHeight="1">
      <c r="A3" s="13" t="s">
        <v>24</v>
      </c>
      <c r="B3" s="14">
        <f>C3/B49 * 100</f>
        <v>90.14084507</v>
      </c>
      <c r="C3" s="15">
        <f t="shared" si="1"/>
        <v>64</v>
      </c>
      <c r="D3" s="16" t="b">
        <v>1</v>
      </c>
      <c r="E3" s="15">
        <v>5.0</v>
      </c>
      <c r="F3" s="15">
        <v>4.0</v>
      </c>
      <c r="G3" s="15">
        <v>5.0</v>
      </c>
      <c r="H3" s="15">
        <v>5.0</v>
      </c>
      <c r="I3" s="15">
        <v>4.0</v>
      </c>
      <c r="J3" s="15">
        <v>4.0</v>
      </c>
      <c r="K3" s="15">
        <v>5.0</v>
      </c>
    </row>
    <row r="4" ht="22.5" customHeight="1">
      <c r="A4" s="13" t="s">
        <v>25</v>
      </c>
      <c r="B4" s="14">
        <f>C4/B49 * 100</f>
        <v>85.91549296</v>
      </c>
      <c r="C4" s="15">
        <f t="shared" si="1"/>
        <v>61</v>
      </c>
      <c r="D4" s="16" t="b">
        <v>1</v>
      </c>
      <c r="E4" s="15">
        <v>5.0</v>
      </c>
      <c r="F4" s="15">
        <v>4.0</v>
      </c>
      <c r="G4" s="15">
        <v>5.0</v>
      </c>
      <c r="H4" s="15">
        <v>5.0</v>
      </c>
      <c r="I4" s="15">
        <v>4.0</v>
      </c>
      <c r="J4" s="15">
        <v>3.0</v>
      </c>
      <c r="K4" s="15">
        <v>5.0</v>
      </c>
    </row>
    <row r="5" ht="22.5" customHeight="1">
      <c r="A5" s="13" t="s">
        <v>26</v>
      </c>
      <c r="B5" s="14">
        <f>C5/B49 * 100</f>
        <v>74.64788732</v>
      </c>
      <c r="C5" s="15">
        <f t="shared" si="1"/>
        <v>53</v>
      </c>
      <c r="D5" s="16" t="b">
        <v>0</v>
      </c>
      <c r="E5" s="15">
        <v>0.0</v>
      </c>
      <c r="F5" s="15">
        <v>4.0</v>
      </c>
      <c r="G5" s="15">
        <v>5.0</v>
      </c>
      <c r="H5" s="15">
        <v>5.0</v>
      </c>
      <c r="I5" s="15">
        <v>4.0</v>
      </c>
      <c r="J5" s="15">
        <v>4.0</v>
      </c>
      <c r="K5" s="15">
        <v>5.0</v>
      </c>
    </row>
    <row r="6" ht="22.5" customHeight="1">
      <c r="A6" s="13" t="s">
        <v>27</v>
      </c>
      <c r="B6" s="14">
        <f>C6/B49 * 100</f>
        <v>70.42253521</v>
      </c>
      <c r="C6" s="15">
        <f t="shared" si="1"/>
        <v>50</v>
      </c>
      <c r="D6" s="16" t="b">
        <v>0</v>
      </c>
      <c r="E6" s="15">
        <v>0.0</v>
      </c>
      <c r="F6" s="15">
        <v>4.0</v>
      </c>
      <c r="G6" s="15">
        <v>5.0</v>
      </c>
      <c r="H6" s="15">
        <v>5.0</v>
      </c>
      <c r="I6" s="15">
        <v>4.0</v>
      </c>
      <c r="J6" s="15">
        <v>3.0</v>
      </c>
      <c r="K6" s="15">
        <v>5.0</v>
      </c>
    </row>
    <row r="7" ht="22.5" customHeight="1">
      <c r="A7" s="13" t="s">
        <v>28</v>
      </c>
      <c r="B7" s="14">
        <f>C7/B49 * 100</f>
        <v>74.64788732</v>
      </c>
      <c r="C7" s="15">
        <f t="shared" si="1"/>
        <v>53</v>
      </c>
      <c r="D7" s="16" t="b">
        <v>0</v>
      </c>
      <c r="E7" s="15">
        <v>0.0</v>
      </c>
      <c r="F7" s="15">
        <v>4.0</v>
      </c>
      <c r="G7" s="15">
        <v>5.0</v>
      </c>
      <c r="H7" s="15">
        <v>5.0</v>
      </c>
      <c r="I7" s="15">
        <v>4.0</v>
      </c>
      <c r="J7" s="15">
        <v>4.0</v>
      </c>
      <c r="K7" s="15">
        <v>5.0</v>
      </c>
    </row>
    <row r="8" ht="22.5" customHeight="1">
      <c r="A8" s="13" t="s">
        <v>29</v>
      </c>
      <c r="B8" s="14">
        <f>C8/B49 * 100</f>
        <v>70.42253521</v>
      </c>
      <c r="C8" s="15">
        <f t="shared" si="1"/>
        <v>50</v>
      </c>
      <c r="D8" s="16" t="b">
        <v>0</v>
      </c>
      <c r="E8" s="15">
        <v>0.0</v>
      </c>
      <c r="F8" s="15">
        <v>4.0</v>
      </c>
      <c r="G8" s="15">
        <v>5.0</v>
      </c>
      <c r="H8" s="15">
        <v>5.0</v>
      </c>
      <c r="I8" s="15">
        <v>4.0</v>
      </c>
      <c r="J8" s="15">
        <v>3.0</v>
      </c>
      <c r="K8" s="15">
        <v>5.0</v>
      </c>
    </row>
    <row r="9" ht="22.5" customHeight="1">
      <c r="A9" s="13" t="s">
        <v>30</v>
      </c>
      <c r="B9" s="14">
        <f>C9/B49 * 100</f>
        <v>66.1971831</v>
      </c>
      <c r="C9" s="15">
        <f t="shared" si="1"/>
        <v>47</v>
      </c>
      <c r="D9" s="16" t="b">
        <v>0</v>
      </c>
      <c r="E9" s="15">
        <v>0.0</v>
      </c>
      <c r="F9" s="15">
        <v>4.0</v>
      </c>
      <c r="G9" s="15">
        <v>5.0</v>
      </c>
      <c r="H9" s="15">
        <v>5.0</v>
      </c>
      <c r="I9" s="15">
        <v>3.0</v>
      </c>
      <c r="J9" s="15">
        <v>3.0</v>
      </c>
      <c r="K9" s="15">
        <v>5.0</v>
      </c>
    </row>
    <row r="10" ht="22.5" customHeight="1">
      <c r="A10" s="13" t="s">
        <v>31</v>
      </c>
      <c r="B10" s="14">
        <f>C10/B49 * 100</f>
        <v>74.64788732</v>
      </c>
      <c r="C10" s="15">
        <f t="shared" si="1"/>
        <v>53</v>
      </c>
      <c r="D10" s="16" t="b">
        <v>0</v>
      </c>
      <c r="E10" s="15">
        <v>0.0</v>
      </c>
      <c r="F10" s="15">
        <v>4.0</v>
      </c>
      <c r="G10" s="15">
        <v>5.0</v>
      </c>
      <c r="H10" s="15">
        <v>5.0</v>
      </c>
      <c r="I10" s="15">
        <v>4.0</v>
      </c>
      <c r="J10" s="15">
        <v>4.0</v>
      </c>
      <c r="K10" s="15">
        <v>5.0</v>
      </c>
    </row>
    <row r="11" ht="22.5" customHeight="1">
      <c r="A11" s="13" t="s">
        <v>32</v>
      </c>
      <c r="B11" s="14">
        <f>C11/B49 * 100</f>
        <v>78.87323944</v>
      </c>
      <c r="C11" s="15">
        <f t="shared" si="1"/>
        <v>56</v>
      </c>
      <c r="D11" s="16" t="b">
        <v>0</v>
      </c>
      <c r="E11" s="15">
        <v>0.0</v>
      </c>
      <c r="F11" s="15">
        <v>4.0</v>
      </c>
      <c r="G11" s="15">
        <v>5.0</v>
      </c>
      <c r="H11" s="15">
        <v>5.0</v>
      </c>
      <c r="I11" s="15">
        <v>5.0</v>
      </c>
      <c r="J11" s="15">
        <v>4.0</v>
      </c>
      <c r="K11" s="15">
        <v>5.0</v>
      </c>
    </row>
    <row r="12" ht="22.5" customHeight="1">
      <c r="A12" s="13" t="s">
        <v>33</v>
      </c>
      <c r="B12" s="14">
        <f>C12/B49 * 100</f>
        <v>83.09859155</v>
      </c>
      <c r="C12" s="15">
        <f t="shared" si="1"/>
        <v>59</v>
      </c>
      <c r="D12" s="16" t="b">
        <v>0</v>
      </c>
      <c r="E12" s="15">
        <v>0.0</v>
      </c>
      <c r="F12" s="15">
        <v>4.0</v>
      </c>
      <c r="G12" s="15">
        <v>5.0</v>
      </c>
      <c r="H12" s="15">
        <v>5.0</v>
      </c>
      <c r="I12" s="15">
        <v>5.0</v>
      </c>
      <c r="J12" s="15">
        <v>5.0</v>
      </c>
      <c r="K12" s="15">
        <v>5.0</v>
      </c>
    </row>
    <row r="13" ht="22.5" customHeight="1">
      <c r="A13" s="13" t="s">
        <v>34</v>
      </c>
      <c r="B13" s="14">
        <f>C13/B49 * 100</f>
        <v>83.09859155</v>
      </c>
      <c r="C13" s="15">
        <f t="shared" si="1"/>
        <v>59</v>
      </c>
      <c r="D13" s="16" t="b">
        <v>0</v>
      </c>
      <c r="E13" s="15">
        <v>0.0</v>
      </c>
      <c r="F13" s="15">
        <v>4.0</v>
      </c>
      <c r="G13" s="15">
        <v>5.0</v>
      </c>
      <c r="H13" s="15">
        <v>5.0</v>
      </c>
      <c r="I13" s="15">
        <v>5.0</v>
      </c>
      <c r="J13" s="15">
        <v>5.0</v>
      </c>
      <c r="K13" s="15">
        <v>5.0</v>
      </c>
    </row>
    <row r="14" ht="22.5" customHeight="1">
      <c r="A14" s="13" t="s">
        <v>35</v>
      </c>
      <c r="B14" s="14">
        <f>C14/B49 * 100</f>
        <v>77.46478873</v>
      </c>
      <c r="C14" s="15">
        <f t="shared" si="1"/>
        <v>55</v>
      </c>
      <c r="D14" s="16" t="b">
        <v>0</v>
      </c>
      <c r="E14" s="15">
        <v>0.0</v>
      </c>
      <c r="F14" s="15">
        <v>3.0</v>
      </c>
      <c r="G14" s="15">
        <v>5.0</v>
      </c>
      <c r="H14" s="15">
        <v>5.0</v>
      </c>
      <c r="I14" s="15">
        <v>4.0</v>
      </c>
      <c r="J14" s="15">
        <v>5.0</v>
      </c>
      <c r="K14" s="15">
        <v>5.0</v>
      </c>
    </row>
    <row r="15" ht="22.5" customHeight="1">
      <c r="A15" s="13" t="s">
        <v>36</v>
      </c>
      <c r="B15" s="14">
        <f>C15/B49 * 100</f>
        <v>78.87323944</v>
      </c>
      <c r="C15" s="15">
        <f t="shared" si="1"/>
        <v>56</v>
      </c>
      <c r="D15" s="16" t="b">
        <v>0</v>
      </c>
      <c r="E15" s="15">
        <v>0.0</v>
      </c>
      <c r="F15" s="15">
        <v>4.0</v>
      </c>
      <c r="G15" s="15">
        <v>5.0</v>
      </c>
      <c r="H15" s="15">
        <v>5.0</v>
      </c>
      <c r="I15" s="15">
        <v>4.0</v>
      </c>
      <c r="J15" s="15">
        <v>5.0</v>
      </c>
      <c r="K15" s="15">
        <v>5.0</v>
      </c>
    </row>
    <row r="16" ht="22.5" customHeight="1">
      <c r="A16" s="13" t="s">
        <v>37</v>
      </c>
      <c r="B16" s="14">
        <f>C16/B49 * 100</f>
        <v>78.87323944</v>
      </c>
      <c r="C16" s="15">
        <f t="shared" si="1"/>
        <v>56</v>
      </c>
      <c r="D16" s="16" t="b">
        <v>0</v>
      </c>
      <c r="E16" s="15">
        <v>0.0</v>
      </c>
      <c r="F16" s="15">
        <v>4.0</v>
      </c>
      <c r="G16" s="15">
        <v>5.0</v>
      </c>
      <c r="H16" s="15">
        <v>5.0</v>
      </c>
      <c r="I16" s="15">
        <v>4.0</v>
      </c>
      <c r="J16" s="15">
        <v>5.0</v>
      </c>
      <c r="K16" s="15">
        <v>5.0</v>
      </c>
    </row>
    <row r="17" ht="22.5" customHeight="1">
      <c r="A17" s="13" t="s">
        <v>38</v>
      </c>
      <c r="B17" s="14">
        <f>C17/B49 * 100</f>
        <v>78.87323944</v>
      </c>
      <c r="C17" s="15">
        <f t="shared" si="1"/>
        <v>56</v>
      </c>
      <c r="D17" s="16" t="b">
        <v>0</v>
      </c>
      <c r="E17" s="15">
        <v>0.0</v>
      </c>
      <c r="F17" s="15">
        <v>4.0</v>
      </c>
      <c r="G17" s="15">
        <v>5.0</v>
      </c>
      <c r="H17" s="15">
        <v>5.0</v>
      </c>
      <c r="I17" s="15">
        <v>4.0</v>
      </c>
      <c r="J17" s="15">
        <v>5.0</v>
      </c>
      <c r="K17" s="15">
        <v>5.0</v>
      </c>
    </row>
    <row r="18" ht="22.5" customHeight="1">
      <c r="A18" s="13" t="s">
        <v>39</v>
      </c>
      <c r="B18" s="14">
        <f>C18/B49 * 100</f>
        <v>78.87323944</v>
      </c>
      <c r="C18" s="15">
        <f t="shared" si="1"/>
        <v>56</v>
      </c>
      <c r="D18" s="16" t="b">
        <v>0</v>
      </c>
      <c r="E18" s="15">
        <v>0.0</v>
      </c>
      <c r="F18" s="15">
        <v>4.0</v>
      </c>
      <c r="G18" s="15">
        <v>5.0</v>
      </c>
      <c r="H18" s="15">
        <v>5.0</v>
      </c>
      <c r="I18" s="15">
        <v>4.0</v>
      </c>
      <c r="J18" s="15">
        <v>5.0</v>
      </c>
      <c r="K18" s="15">
        <v>5.0</v>
      </c>
    </row>
    <row r="19" ht="22.5" customHeight="1">
      <c r="A19" s="13" t="s">
        <v>40</v>
      </c>
      <c r="B19" s="14">
        <f>C19/B49 * 100</f>
        <v>78.87323944</v>
      </c>
      <c r="C19" s="15">
        <f t="shared" si="1"/>
        <v>56</v>
      </c>
      <c r="D19" s="16" t="b">
        <v>0</v>
      </c>
      <c r="E19" s="15">
        <v>0.0</v>
      </c>
      <c r="F19" s="15">
        <v>4.0</v>
      </c>
      <c r="G19" s="15">
        <v>5.0</v>
      </c>
      <c r="H19" s="15">
        <v>5.0</v>
      </c>
      <c r="I19" s="15">
        <v>4.0</v>
      </c>
      <c r="J19" s="15">
        <v>5.0</v>
      </c>
      <c r="K19" s="15">
        <v>5.0</v>
      </c>
    </row>
    <row r="20" ht="22.5" customHeight="1">
      <c r="A20" s="13" t="s">
        <v>41</v>
      </c>
      <c r="B20" s="14">
        <f>C20/B49 * 100</f>
        <v>83.09859155</v>
      </c>
      <c r="C20" s="15">
        <f t="shared" si="1"/>
        <v>59</v>
      </c>
      <c r="D20" s="16" t="b">
        <v>0</v>
      </c>
      <c r="E20" s="15">
        <v>0.0</v>
      </c>
      <c r="F20" s="15">
        <v>4.0</v>
      </c>
      <c r="G20" s="15">
        <v>5.0</v>
      </c>
      <c r="H20" s="15">
        <v>5.0</v>
      </c>
      <c r="I20" s="15">
        <v>5.0</v>
      </c>
      <c r="J20" s="15">
        <v>5.0</v>
      </c>
      <c r="K20" s="15">
        <v>5.0</v>
      </c>
    </row>
    <row r="21" ht="22.5" customHeight="1">
      <c r="A21" s="13" t="s">
        <v>42</v>
      </c>
      <c r="B21" s="14">
        <f>C21/B49 * 100</f>
        <v>83.09859155</v>
      </c>
      <c r="C21" s="15">
        <f t="shared" si="1"/>
        <v>59</v>
      </c>
      <c r="D21" s="16" t="b">
        <v>0</v>
      </c>
      <c r="E21" s="15">
        <v>0.0</v>
      </c>
      <c r="F21" s="15">
        <v>4.0</v>
      </c>
      <c r="G21" s="15">
        <v>5.0</v>
      </c>
      <c r="H21" s="15">
        <v>5.0</v>
      </c>
      <c r="I21" s="15">
        <v>5.0</v>
      </c>
      <c r="J21" s="15">
        <v>5.0</v>
      </c>
      <c r="K21" s="15">
        <v>5.0</v>
      </c>
    </row>
    <row r="22" ht="22.5" customHeight="1">
      <c r="A22" s="13" t="s">
        <v>43</v>
      </c>
      <c r="B22" s="14">
        <f>C22/B49 * 100</f>
        <v>83.09859155</v>
      </c>
      <c r="C22" s="15">
        <f t="shared" si="1"/>
        <v>59</v>
      </c>
      <c r="D22" s="16" t="b">
        <v>0</v>
      </c>
      <c r="E22" s="15">
        <v>0.0</v>
      </c>
      <c r="F22" s="15">
        <v>4.0</v>
      </c>
      <c r="G22" s="15">
        <v>5.0</v>
      </c>
      <c r="H22" s="15">
        <v>5.0</v>
      </c>
      <c r="I22" s="15">
        <v>5.0</v>
      </c>
      <c r="J22" s="15">
        <v>5.0</v>
      </c>
      <c r="K22" s="15">
        <v>5.0</v>
      </c>
    </row>
    <row r="23" ht="22.5" customHeight="1">
      <c r="A23" s="13" t="s">
        <v>44</v>
      </c>
      <c r="B23" s="14">
        <f>C23/B49 * 100</f>
        <v>83.09859155</v>
      </c>
      <c r="C23" s="15">
        <f t="shared" si="1"/>
        <v>59</v>
      </c>
      <c r="D23" s="16" t="b">
        <v>0</v>
      </c>
      <c r="E23" s="15">
        <v>0.0</v>
      </c>
      <c r="F23" s="15">
        <v>4.0</v>
      </c>
      <c r="G23" s="15">
        <v>5.0</v>
      </c>
      <c r="H23" s="15">
        <v>5.0</v>
      </c>
      <c r="I23" s="15">
        <v>5.0</v>
      </c>
      <c r="J23" s="15">
        <v>5.0</v>
      </c>
      <c r="K23" s="15">
        <v>5.0</v>
      </c>
    </row>
    <row r="24" ht="22.5" customHeight="1">
      <c r="A24" s="13" t="s">
        <v>45</v>
      </c>
      <c r="B24" s="14">
        <f>C24/B49 * 100</f>
        <v>83.09859155</v>
      </c>
      <c r="C24" s="15">
        <f t="shared" si="1"/>
        <v>59</v>
      </c>
      <c r="D24" s="16" t="b">
        <v>0</v>
      </c>
      <c r="E24" s="15">
        <v>0.0</v>
      </c>
      <c r="F24" s="15">
        <v>4.0</v>
      </c>
      <c r="G24" s="15">
        <v>5.0</v>
      </c>
      <c r="H24" s="15">
        <v>5.0</v>
      </c>
      <c r="I24" s="15">
        <v>5.0</v>
      </c>
      <c r="J24" s="15">
        <v>5.0</v>
      </c>
      <c r="K24" s="15">
        <v>5.0</v>
      </c>
    </row>
    <row r="25" ht="22.5" customHeight="1">
      <c r="A25" s="13" t="s">
        <v>46</v>
      </c>
      <c r="B25" s="14">
        <f>C25/B49 * 100</f>
        <v>78.87323944</v>
      </c>
      <c r="C25" s="15">
        <f t="shared" si="1"/>
        <v>56</v>
      </c>
      <c r="D25" s="16" t="b">
        <v>0</v>
      </c>
      <c r="E25" s="15">
        <v>0.0</v>
      </c>
      <c r="F25" s="15">
        <v>4.0</v>
      </c>
      <c r="G25" s="15">
        <v>5.0</v>
      </c>
      <c r="H25" s="15">
        <v>5.0</v>
      </c>
      <c r="I25" s="15">
        <v>5.0</v>
      </c>
      <c r="J25" s="15">
        <v>4.0</v>
      </c>
      <c r="K25" s="15">
        <v>5.0</v>
      </c>
    </row>
    <row r="26" ht="22.5" customHeight="1">
      <c r="A26" s="13" t="s">
        <v>47</v>
      </c>
      <c r="B26" s="14">
        <f>C26/B49 * 100</f>
        <v>98.5915493</v>
      </c>
      <c r="C26" s="15">
        <f t="shared" si="1"/>
        <v>70</v>
      </c>
      <c r="D26" s="16" t="b">
        <v>1</v>
      </c>
      <c r="E26" s="15">
        <v>5.0</v>
      </c>
      <c r="F26" s="15">
        <v>4.0</v>
      </c>
      <c r="G26" s="15">
        <v>5.0</v>
      </c>
      <c r="H26" s="15">
        <v>5.0</v>
      </c>
      <c r="I26" s="15">
        <v>5.0</v>
      </c>
      <c r="J26" s="15">
        <v>5.0</v>
      </c>
      <c r="K26" s="15">
        <v>5.0</v>
      </c>
    </row>
    <row r="27" ht="22.5" customHeight="1">
      <c r="A27" s="13" t="s">
        <v>48</v>
      </c>
      <c r="B27" s="14">
        <f>C27/B49 * 100</f>
        <v>98.5915493</v>
      </c>
      <c r="C27" s="15">
        <f t="shared" si="1"/>
        <v>70</v>
      </c>
      <c r="D27" s="16" t="b">
        <v>1</v>
      </c>
      <c r="E27" s="15">
        <v>5.0</v>
      </c>
      <c r="F27" s="15">
        <v>4.0</v>
      </c>
      <c r="G27" s="15">
        <v>5.0</v>
      </c>
      <c r="H27" s="15">
        <v>5.0</v>
      </c>
      <c r="I27" s="15">
        <v>5.0</v>
      </c>
      <c r="J27" s="15">
        <v>5.0</v>
      </c>
      <c r="K27" s="15">
        <v>5.0</v>
      </c>
    </row>
    <row r="28" ht="22.5" customHeight="1">
      <c r="A28" s="13" t="s">
        <v>49</v>
      </c>
      <c r="B28" s="14">
        <f>C28/B49 * 100</f>
        <v>91.54929577</v>
      </c>
      <c r="C28" s="15">
        <f t="shared" si="1"/>
        <v>65</v>
      </c>
      <c r="D28" s="16" t="b">
        <v>1</v>
      </c>
      <c r="E28" s="15">
        <v>4.0</v>
      </c>
      <c r="F28" s="15">
        <v>4.0</v>
      </c>
      <c r="G28" s="15">
        <v>5.0</v>
      </c>
      <c r="H28" s="15">
        <v>5.0</v>
      </c>
      <c r="I28" s="15">
        <v>4.0</v>
      </c>
      <c r="J28" s="15">
        <v>5.0</v>
      </c>
      <c r="K28" s="15">
        <v>5.0</v>
      </c>
    </row>
    <row r="29" ht="22.5" customHeight="1">
      <c r="A29" s="13" t="s">
        <v>50</v>
      </c>
      <c r="B29" s="14">
        <f>C29/B49 * 100</f>
        <v>78.87323944</v>
      </c>
      <c r="C29" s="15">
        <f t="shared" si="1"/>
        <v>56</v>
      </c>
      <c r="D29" s="16" t="b">
        <v>0</v>
      </c>
      <c r="E29" s="15">
        <v>0.0</v>
      </c>
      <c r="F29" s="15">
        <v>4.0</v>
      </c>
      <c r="G29" s="15">
        <v>5.0</v>
      </c>
      <c r="H29" s="15">
        <v>5.0</v>
      </c>
      <c r="I29" s="15">
        <v>4.0</v>
      </c>
      <c r="J29" s="15">
        <v>5.0</v>
      </c>
      <c r="K29" s="15">
        <v>5.0</v>
      </c>
    </row>
    <row r="30" ht="22.5" customHeight="1">
      <c r="A30" s="13" t="s">
        <v>51</v>
      </c>
      <c r="B30" s="14">
        <f>C30/B49 * 100</f>
        <v>83.09859155</v>
      </c>
      <c r="C30" s="15">
        <f t="shared" si="1"/>
        <v>59</v>
      </c>
      <c r="D30" s="16" t="b">
        <v>0</v>
      </c>
      <c r="E30" s="15">
        <v>0.0</v>
      </c>
      <c r="F30" s="15">
        <v>4.0</v>
      </c>
      <c r="G30" s="15">
        <v>5.0</v>
      </c>
      <c r="H30" s="15">
        <v>5.0</v>
      </c>
      <c r="I30" s="15">
        <v>5.0</v>
      </c>
      <c r="J30" s="15">
        <v>5.0</v>
      </c>
      <c r="K30" s="15">
        <v>5.0</v>
      </c>
    </row>
    <row r="31" ht="22.5" customHeight="1">
      <c r="A31" s="13" t="s">
        <v>52</v>
      </c>
      <c r="B31" s="14">
        <f>C31/B49 * 100</f>
        <v>78.87323944</v>
      </c>
      <c r="C31" s="15">
        <f t="shared" si="1"/>
        <v>56</v>
      </c>
      <c r="D31" s="16" t="b">
        <v>0</v>
      </c>
      <c r="E31" s="15">
        <v>0.0</v>
      </c>
      <c r="F31" s="15">
        <v>4.0</v>
      </c>
      <c r="G31" s="15">
        <v>5.0</v>
      </c>
      <c r="H31" s="15">
        <v>5.0</v>
      </c>
      <c r="I31" s="15">
        <v>4.0</v>
      </c>
      <c r="J31" s="15">
        <v>5.0</v>
      </c>
      <c r="K31" s="15">
        <v>5.0</v>
      </c>
    </row>
    <row r="32" ht="22.5" customHeight="1">
      <c r="A32" s="13" t="s">
        <v>53</v>
      </c>
      <c r="B32" s="14">
        <f>C32/B49 * 100</f>
        <v>94.36619718</v>
      </c>
      <c r="C32" s="15">
        <f t="shared" si="1"/>
        <v>67</v>
      </c>
      <c r="D32" s="16" t="b">
        <v>1</v>
      </c>
      <c r="E32" s="15">
        <v>5.0</v>
      </c>
      <c r="F32" s="15">
        <v>3.0</v>
      </c>
      <c r="G32" s="15">
        <v>4.0</v>
      </c>
      <c r="H32" s="15">
        <v>5.0</v>
      </c>
      <c r="I32" s="15">
        <v>5.0</v>
      </c>
      <c r="J32" s="15">
        <v>5.0</v>
      </c>
      <c r="K32" s="15">
        <v>5.0</v>
      </c>
    </row>
    <row r="33" ht="22.5" customHeight="1">
      <c r="A33" s="13" t="s">
        <v>54</v>
      </c>
      <c r="B33" s="14">
        <f>C33/B49 * 100</f>
        <v>98.5915493</v>
      </c>
      <c r="C33" s="15">
        <f t="shared" si="1"/>
        <v>70</v>
      </c>
      <c r="D33" s="16" t="b">
        <v>1</v>
      </c>
      <c r="E33" s="15">
        <v>5.0</v>
      </c>
      <c r="F33" s="15">
        <v>4.0</v>
      </c>
      <c r="G33" s="15">
        <v>5.0</v>
      </c>
      <c r="H33" s="15">
        <v>5.0</v>
      </c>
      <c r="I33" s="15">
        <v>5.0</v>
      </c>
      <c r="J33" s="15">
        <v>5.0</v>
      </c>
      <c r="K33" s="15">
        <v>5.0</v>
      </c>
    </row>
    <row r="34" ht="22.5" customHeight="1">
      <c r="A34" s="13" t="s">
        <v>55</v>
      </c>
      <c r="B34" s="14">
        <f>C34/B49 * 100</f>
        <v>98.5915493</v>
      </c>
      <c r="C34" s="15">
        <f t="shared" si="1"/>
        <v>70</v>
      </c>
      <c r="D34" s="16" t="b">
        <v>1</v>
      </c>
      <c r="E34" s="15">
        <v>5.0</v>
      </c>
      <c r="F34" s="15">
        <v>4.0</v>
      </c>
      <c r="G34" s="15">
        <v>5.0</v>
      </c>
      <c r="H34" s="15">
        <v>5.0</v>
      </c>
      <c r="I34" s="15">
        <v>5.0</v>
      </c>
      <c r="J34" s="15">
        <v>5.0</v>
      </c>
      <c r="K34" s="15">
        <v>5.0</v>
      </c>
    </row>
    <row r="35" ht="22.5" customHeight="1">
      <c r="A35" s="13" t="s">
        <v>56</v>
      </c>
      <c r="B35" s="14">
        <f>C35/B49 * 100</f>
        <v>98.5915493</v>
      </c>
      <c r="C35" s="15">
        <f t="shared" si="1"/>
        <v>70</v>
      </c>
      <c r="D35" s="16" t="b">
        <v>1</v>
      </c>
      <c r="E35" s="15">
        <v>5.0</v>
      </c>
      <c r="F35" s="15">
        <v>4.0</v>
      </c>
      <c r="G35" s="15">
        <v>5.0</v>
      </c>
      <c r="H35" s="15">
        <v>5.0</v>
      </c>
      <c r="I35" s="15">
        <v>5.0</v>
      </c>
      <c r="J35" s="15">
        <v>5.0</v>
      </c>
      <c r="K35" s="15">
        <v>5.0</v>
      </c>
    </row>
    <row r="36" ht="22.5" customHeight="1">
      <c r="A36" s="13" t="s">
        <v>57</v>
      </c>
      <c r="B36" s="14">
        <f>C36/B49 * 100</f>
        <v>92.95774648</v>
      </c>
      <c r="C36" s="15">
        <f t="shared" si="1"/>
        <v>66</v>
      </c>
      <c r="D36" s="16" t="b">
        <v>0</v>
      </c>
      <c r="E36" s="15">
        <v>5.0</v>
      </c>
      <c r="F36" s="15">
        <v>4.0</v>
      </c>
      <c r="G36" s="15">
        <v>5.0</v>
      </c>
      <c r="H36" s="15">
        <v>5.0</v>
      </c>
      <c r="I36" s="15">
        <v>4.0</v>
      </c>
      <c r="J36" s="15">
        <v>5.0</v>
      </c>
      <c r="K36" s="15">
        <v>5.0</v>
      </c>
    </row>
    <row r="37" ht="22.5" customHeight="1">
      <c r="A37" s="13" t="s">
        <v>58</v>
      </c>
      <c r="B37" s="14">
        <f>C37/B49 * 100</f>
        <v>97.18309859</v>
      </c>
      <c r="C37" s="15">
        <f t="shared" si="1"/>
        <v>69</v>
      </c>
      <c r="D37" s="16" t="b">
        <v>0</v>
      </c>
      <c r="E37" s="15">
        <v>5.0</v>
      </c>
      <c r="F37" s="15">
        <v>4.0</v>
      </c>
      <c r="G37" s="15">
        <v>5.0</v>
      </c>
      <c r="H37" s="15">
        <v>5.0</v>
      </c>
      <c r="I37" s="15">
        <v>5.0</v>
      </c>
      <c r="J37" s="15">
        <v>5.0</v>
      </c>
      <c r="K37" s="15">
        <v>5.0</v>
      </c>
    </row>
    <row r="38" ht="22.5" customHeight="1">
      <c r="A38" s="2" t="s">
        <v>59</v>
      </c>
      <c r="B38" s="3">
        <f>MEDIAN(Tabela[Nota Final (%)])</f>
        <v>83.09859155</v>
      </c>
      <c r="C38" s="4">
        <f>MEDIAN(Tabela[Pontos Totais (max 71)])</f>
        <v>59</v>
      </c>
      <c r="D38" s="2"/>
      <c r="E38" s="3">
        <f>AVERAGE(Tabela[o texo é legivel?])</f>
        <v>1.638888889</v>
      </c>
      <c r="F38" s="4">
        <f>AVERAGE(Tabela[Resolução])</f>
        <v>3.944444444</v>
      </c>
      <c r="G38" s="3">
        <f>AVERAGE(Tabela[Qualidade Visual])</f>
        <v>4.972222222</v>
      </c>
      <c r="H38" s="4">
        <f>AVERAGE(Tabela[Enquadramento])</f>
        <v>5</v>
      </c>
      <c r="I38" s="3">
        <f>AVERAGE(Tabela[Alinhamento Prompt])</f>
        <v>4.444444444</v>
      </c>
      <c r="J38" s="4">
        <f>MEDIAN(Tabela[Alucinações])</f>
        <v>5</v>
      </c>
      <c r="K38" s="4">
        <f>AVERAGE(Tabela[Tamanho Prompt])</f>
        <v>5</v>
      </c>
    </row>
    <row r="40">
      <c r="J40" s="12" t="s">
        <v>63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95.77464789</v>
      </c>
      <c r="C2" s="15">
        <f t="shared" ref="C2:C37" si="1">IF(D2, 1, 0) + (E2 * E49) + (F2 * F49) + (G2 * G49) + (H2 * H49) + (I2 * I49) + (J2 * J49) + (K2 * K49)</f>
        <v>68</v>
      </c>
      <c r="D2" s="16" t="b">
        <v>1</v>
      </c>
      <c r="E2" s="15">
        <v>5.0</v>
      </c>
      <c r="F2" s="15">
        <v>4.0</v>
      </c>
      <c r="G2" s="15">
        <v>5.0</v>
      </c>
      <c r="H2" s="15">
        <v>5.0</v>
      </c>
      <c r="I2" s="15">
        <v>5.0</v>
      </c>
      <c r="J2" s="15">
        <v>5.0</v>
      </c>
      <c r="K2" s="15">
        <v>4.0</v>
      </c>
    </row>
    <row r="3" ht="22.5" customHeight="1">
      <c r="A3" s="13" t="s">
        <v>24</v>
      </c>
      <c r="B3" s="14">
        <f>C3/B49 * 100</f>
        <v>91.54929577</v>
      </c>
      <c r="C3" s="15">
        <f t="shared" si="1"/>
        <v>65</v>
      </c>
      <c r="D3" s="16" t="b">
        <v>1</v>
      </c>
      <c r="E3" s="15">
        <v>5.0</v>
      </c>
      <c r="F3" s="15">
        <v>4.0</v>
      </c>
      <c r="G3" s="15">
        <v>5.0</v>
      </c>
      <c r="H3" s="15">
        <v>5.0</v>
      </c>
      <c r="I3" s="15">
        <v>5.0</v>
      </c>
      <c r="J3" s="15">
        <v>4.0</v>
      </c>
      <c r="K3" s="15">
        <v>4.0</v>
      </c>
    </row>
    <row r="4" ht="22.5" customHeight="1">
      <c r="A4" s="13" t="s">
        <v>25</v>
      </c>
      <c r="B4" s="14">
        <f>C4/B49 * 100</f>
        <v>91.54929577</v>
      </c>
      <c r="C4" s="15">
        <f t="shared" si="1"/>
        <v>65</v>
      </c>
      <c r="D4" s="16" t="b">
        <v>1</v>
      </c>
      <c r="E4" s="15">
        <v>5.0</v>
      </c>
      <c r="F4" s="15">
        <v>4.0</v>
      </c>
      <c r="G4" s="15">
        <v>5.0</v>
      </c>
      <c r="H4" s="15">
        <v>5.0</v>
      </c>
      <c r="I4" s="15">
        <v>5.0</v>
      </c>
      <c r="J4" s="15">
        <v>4.0</v>
      </c>
      <c r="K4" s="15">
        <v>4.0</v>
      </c>
    </row>
    <row r="5" ht="22.5" customHeight="1">
      <c r="A5" s="13" t="s">
        <v>26</v>
      </c>
      <c r="B5" s="14">
        <f>C5/B49 * 100</f>
        <v>80.28169014</v>
      </c>
      <c r="C5" s="15">
        <f t="shared" si="1"/>
        <v>57</v>
      </c>
      <c r="D5" s="16" t="b">
        <v>0</v>
      </c>
      <c r="E5" s="15">
        <v>0.0</v>
      </c>
      <c r="F5" s="15">
        <v>4.0</v>
      </c>
      <c r="G5" s="15">
        <v>5.0</v>
      </c>
      <c r="H5" s="15">
        <v>5.0</v>
      </c>
      <c r="I5" s="15">
        <v>5.0</v>
      </c>
      <c r="J5" s="15">
        <v>5.0</v>
      </c>
      <c r="K5" s="15">
        <v>4.0</v>
      </c>
    </row>
    <row r="6" ht="22.5" customHeight="1">
      <c r="A6" s="13" t="s">
        <v>27</v>
      </c>
      <c r="B6" s="14">
        <f>C6/B49 * 100</f>
        <v>76.05633803</v>
      </c>
      <c r="C6" s="15">
        <f t="shared" si="1"/>
        <v>54</v>
      </c>
      <c r="D6" s="16" t="b">
        <v>0</v>
      </c>
      <c r="E6" s="15">
        <v>0.0</v>
      </c>
      <c r="F6" s="15">
        <v>4.0</v>
      </c>
      <c r="G6" s="15">
        <v>5.0</v>
      </c>
      <c r="H6" s="15">
        <v>5.0</v>
      </c>
      <c r="I6" s="15">
        <v>4.0</v>
      </c>
      <c r="J6" s="15">
        <v>5.0</v>
      </c>
      <c r="K6" s="15">
        <v>4.0</v>
      </c>
    </row>
    <row r="7" ht="22.5" customHeight="1">
      <c r="A7" s="13" t="s">
        <v>28</v>
      </c>
      <c r="B7" s="14">
        <f>C7/B49 * 100</f>
        <v>76.05633803</v>
      </c>
      <c r="C7" s="15">
        <f t="shared" si="1"/>
        <v>54</v>
      </c>
      <c r="D7" s="16" t="b">
        <v>0</v>
      </c>
      <c r="E7" s="15">
        <v>0.0</v>
      </c>
      <c r="F7" s="15">
        <v>4.0</v>
      </c>
      <c r="G7" s="15">
        <v>5.0</v>
      </c>
      <c r="H7" s="15">
        <v>5.0</v>
      </c>
      <c r="I7" s="15">
        <v>4.0</v>
      </c>
      <c r="J7" s="15">
        <v>5.0</v>
      </c>
      <c r="K7" s="15">
        <v>4.0</v>
      </c>
    </row>
    <row r="8" ht="22.5" customHeight="1">
      <c r="A8" s="13" t="s">
        <v>29</v>
      </c>
      <c r="B8" s="14">
        <f>C8/B49 * 100</f>
        <v>76.05633803</v>
      </c>
      <c r="C8" s="15">
        <f t="shared" si="1"/>
        <v>54</v>
      </c>
      <c r="D8" s="16" t="b">
        <v>0</v>
      </c>
      <c r="E8" s="15">
        <v>0.0</v>
      </c>
      <c r="F8" s="15">
        <v>4.0</v>
      </c>
      <c r="G8" s="15">
        <v>5.0</v>
      </c>
      <c r="H8" s="15">
        <v>5.0</v>
      </c>
      <c r="I8" s="15">
        <v>5.0</v>
      </c>
      <c r="J8" s="15">
        <v>4.0</v>
      </c>
      <c r="K8" s="15">
        <v>4.0</v>
      </c>
    </row>
    <row r="9" ht="22.5" customHeight="1">
      <c r="A9" s="13" t="s">
        <v>30</v>
      </c>
      <c r="B9" s="14">
        <f>C9/B49 * 100</f>
        <v>76.05633803</v>
      </c>
      <c r="C9" s="15">
        <f t="shared" si="1"/>
        <v>54</v>
      </c>
      <c r="D9" s="16" t="b">
        <v>0</v>
      </c>
      <c r="E9" s="15">
        <v>0.0</v>
      </c>
      <c r="F9" s="15">
        <v>4.0</v>
      </c>
      <c r="G9" s="15">
        <v>5.0</v>
      </c>
      <c r="H9" s="15">
        <v>5.0</v>
      </c>
      <c r="I9" s="15">
        <v>5.0</v>
      </c>
      <c r="J9" s="15">
        <v>4.0</v>
      </c>
      <c r="K9" s="15">
        <v>4.0</v>
      </c>
    </row>
    <row r="10" ht="22.5" customHeight="1">
      <c r="A10" s="13" t="s">
        <v>31</v>
      </c>
      <c r="B10" s="14">
        <f>C10/B49 * 100</f>
        <v>71.83098592</v>
      </c>
      <c r="C10" s="15">
        <f t="shared" si="1"/>
        <v>51</v>
      </c>
      <c r="D10" s="16" t="b">
        <v>0</v>
      </c>
      <c r="E10" s="15">
        <v>0.0</v>
      </c>
      <c r="F10" s="15">
        <v>4.0</v>
      </c>
      <c r="G10" s="15">
        <v>5.0</v>
      </c>
      <c r="H10" s="15">
        <v>5.0</v>
      </c>
      <c r="I10" s="15">
        <v>5.0</v>
      </c>
      <c r="J10" s="15">
        <v>3.0</v>
      </c>
      <c r="K10" s="15">
        <v>4.0</v>
      </c>
    </row>
    <row r="11" ht="22.5" customHeight="1">
      <c r="A11" s="13" t="s">
        <v>32</v>
      </c>
      <c r="B11" s="14">
        <f>C11/B49 * 100</f>
        <v>80.28169014</v>
      </c>
      <c r="C11" s="15">
        <f t="shared" si="1"/>
        <v>57</v>
      </c>
      <c r="D11" s="16" t="b">
        <v>0</v>
      </c>
      <c r="E11" s="20">
        <v>0.0</v>
      </c>
      <c r="F11" s="20">
        <v>4.0</v>
      </c>
      <c r="G11" s="20">
        <v>5.0</v>
      </c>
      <c r="H11" s="20">
        <v>5.0</v>
      </c>
      <c r="I11" s="20">
        <v>5.0</v>
      </c>
      <c r="J11" s="22">
        <v>5.0</v>
      </c>
      <c r="K11" s="15">
        <v>4.0</v>
      </c>
    </row>
    <row r="12" ht="22.5" customHeight="1">
      <c r="A12" s="13" t="s">
        <v>33</v>
      </c>
      <c r="B12" s="14">
        <f>C12/B49 * 100</f>
        <v>76.05633803</v>
      </c>
      <c r="C12" s="15">
        <f t="shared" si="1"/>
        <v>54</v>
      </c>
      <c r="D12" s="16" t="b">
        <v>0</v>
      </c>
      <c r="E12" s="20">
        <v>0.0</v>
      </c>
      <c r="F12" s="20">
        <v>4.0</v>
      </c>
      <c r="G12" s="20">
        <v>5.0</v>
      </c>
      <c r="H12" s="20">
        <v>5.0</v>
      </c>
      <c r="I12" s="22">
        <v>4.0</v>
      </c>
      <c r="J12" s="22">
        <v>5.0</v>
      </c>
      <c r="K12" s="15">
        <v>4.0</v>
      </c>
    </row>
    <row r="13" ht="22.5" customHeight="1">
      <c r="A13" s="13" t="s">
        <v>34</v>
      </c>
      <c r="B13" s="14">
        <f>C13/B49 * 100</f>
        <v>80.28169014</v>
      </c>
      <c r="C13" s="15">
        <f t="shared" si="1"/>
        <v>57</v>
      </c>
      <c r="D13" s="16" t="b">
        <v>0</v>
      </c>
      <c r="E13" s="22">
        <v>0.0</v>
      </c>
      <c r="F13" s="20">
        <v>4.0</v>
      </c>
      <c r="G13" s="20">
        <v>5.0</v>
      </c>
      <c r="H13" s="20">
        <v>5.0</v>
      </c>
      <c r="I13" s="20">
        <v>5.0</v>
      </c>
      <c r="J13" s="22">
        <v>5.0</v>
      </c>
      <c r="K13" s="15">
        <v>4.0</v>
      </c>
    </row>
    <row r="14" ht="22.5" customHeight="1">
      <c r="A14" s="13" t="s">
        <v>35</v>
      </c>
      <c r="B14" s="14">
        <f>C14/B49 * 100</f>
        <v>76.05633803</v>
      </c>
      <c r="C14" s="15">
        <f t="shared" si="1"/>
        <v>54</v>
      </c>
      <c r="D14" s="16" t="b">
        <v>0</v>
      </c>
      <c r="E14" s="22">
        <v>0.0</v>
      </c>
      <c r="F14" s="20">
        <v>4.0</v>
      </c>
      <c r="G14" s="20">
        <v>5.0</v>
      </c>
      <c r="H14" s="20">
        <v>5.0</v>
      </c>
      <c r="I14" s="22">
        <v>4.0</v>
      </c>
      <c r="J14" s="22">
        <v>5.0</v>
      </c>
      <c r="K14" s="15">
        <v>4.0</v>
      </c>
    </row>
    <row r="15" ht="22.5" customHeight="1">
      <c r="A15" s="13" t="s">
        <v>36</v>
      </c>
      <c r="B15" s="14">
        <f>C15/B49 * 100</f>
        <v>76.05633803</v>
      </c>
      <c r="C15" s="15">
        <f t="shared" si="1"/>
        <v>54</v>
      </c>
      <c r="D15" s="16" t="b">
        <v>0</v>
      </c>
      <c r="E15" s="22">
        <v>0.0</v>
      </c>
      <c r="F15" s="20">
        <v>4.0</v>
      </c>
      <c r="G15" s="20">
        <v>5.0</v>
      </c>
      <c r="H15" s="20">
        <v>5.0</v>
      </c>
      <c r="I15" s="22">
        <v>4.0</v>
      </c>
      <c r="J15" s="22">
        <v>5.0</v>
      </c>
      <c r="K15" s="15">
        <v>4.0</v>
      </c>
    </row>
    <row r="16" ht="22.5" customHeight="1">
      <c r="A16" s="13" t="s">
        <v>37</v>
      </c>
      <c r="B16" s="14">
        <f>C16/B49 * 100</f>
        <v>76.05633803</v>
      </c>
      <c r="C16" s="15">
        <f t="shared" si="1"/>
        <v>54</v>
      </c>
      <c r="D16" s="16" t="b">
        <v>0</v>
      </c>
      <c r="E16" s="22">
        <v>0.0</v>
      </c>
      <c r="F16" s="20">
        <v>4.0</v>
      </c>
      <c r="G16" s="20">
        <v>5.0</v>
      </c>
      <c r="H16" s="20">
        <v>5.0</v>
      </c>
      <c r="I16" s="22">
        <v>4.0</v>
      </c>
      <c r="J16" s="22">
        <v>5.0</v>
      </c>
      <c r="K16" s="15">
        <v>4.0</v>
      </c>
    </row>
    <row r="17" ht="22.5" customHeight="1">
      <c r="A17" s="13" t="s">
        <v>38</v>
      </c>
      <c r="B17" s="14">
        <f>C17/B49 * 100</f>
        <v>71.83098592</v>
      </c>
      <c r="C17" s="15">
        <f t="shared" si="1"/>
        <v>51</v>
      </c>
      <c r="D17" s="16" t="b">
        <v>0</v>
      </c>
      <c r="E17" s="22">
        <v>0.0</v>
      </c>
      <c r="F17" s="20">
        <v>4.0</v>
      </c>
      <c r="G17" s="20">
        <v>5.0</v>
      </c>
      <c r="H17" s="20">
        <v>5.0</v>
      </c>
      <c r="I17" s="22">
        <v>4.0</v>
      </c>
      <c r="J17" s="22">
        <v>4.0</v>
      </c>
      <c r="K17" s="15">
        <v>4.0</v>
      </c>
    </row>
    <row r="18" ht="22.5" customHeight="1">
      <c r="A18" s="13" t="s">
        <v>39</v>
      </c>
      <c r="B18" s="14">
        <f>C18/B49 * 100</f>
        <v>71.83098592</v>
      </c>
      <c r="C18" s="15">
        <f t="shared" si="1"/>
        <v>51</v>
      </c>
      <c r="D18" s="16" t="b">
        <v>0</v>
      </c>
      <c r="E18" s="22">
        <v>0.0</v>
      </c>
      <c r="F18" s="20">
        <v>4.0</v>
      </c>
      <c r="G18" s="20">
        <v>5.0</v>
      </c>
      <c r="H18" s="20">
        <v>5.0</v>
      </c>
      <c r="I18" s="22">
        <v>4.0</v>
      </c>
      <c r="J18" s="22">
        <v>4.0</v>
      </c>
      <c r="K18" s="15">
        <v>4.0</v>
      </c>
    </row>
    <row r="19" ht="22.5" customHeight="1">
      <c r="A19" s="13" t="s">
        <v>40</v>
      </c>
      <c r="B19" s="14">
        <f>C19/B49 * 100</f>
        <v>71.83098592</v>
      </c>
      <c r="C19" s="15">
        <f t="shared" si="1"/>
        <v>51</v>
      </c>
      <c r="D19" s="16" t="b">
        <v>0</v>
      </c>
      <c r="E19" s="22">
        <v>0.0</v>
      </c>
      <c r="F19" s="20">
        <v>4.0</v>
      </c>
      <c r="G19" s="20">
        <v>5.0</v>
      </c>
      <c r="H19" s="20">
        <v>5.0</v>
      </c>
      <c r="I19" s="22">
        <v>4.0</v>
      </c>
      <c r="J19" s="22">
        <v>4.0</v>
      </c>
      <c r="K19" s="15">
        <v>4.0</v>
      </c>
    </row>
    <row r="20" ht="22.5" customHeight="1">
      <c r="A20" s="13" t="s">
        <v>41</v>
      </c>
      <c r="B20" s="14">
        <f>C20/B49 * 100</f>
        <v>80.28169014</v>
      </c>
      <c r="C20" s="15">
        <f t="shared" si="1"/>
        <v>57</v>
      </c>
      <c r="D20" s="16" t="b">
        <v>0</v>
      </c>
      <c r="E20" s="22">
        <v>0.0</v>
      </c>
      <c r="F20" s="20">
        <v>4.0</v>
      </c>
      <c r="G20" s="20">
        <v>5.0</v>
      </c>
      <c r="H20" s="20">
        <v>5.0</v>
      </c>
      <c r="I20" s="22">
        <v>5.0</v>
      </c>
      <c r="J20" s="22">
        <v>5.0</v>
      </c>
      <c r="K20" s="15">
        <v>4.0</v>
      </c>
    </row>
    <row r="21" ht="22.5" customHeight="1">
      <c r="A21" s="13" t="s">
        <v>42</v>
      </c>
      <c r="B21" s="14">
        <f>C21/B49 * 100</f>
        <v>76.05633803</v>
      </c>
      <c r="C21" s="15">
        <f t="shared" si="1"/>
        <v>54</v>
      </c>
      <c r="D21" s="16" t="b">
        <v>0</v>
      </c>
      <c r="E21" s="22">
        <v>0.0</v>
      </c>
      <c r="F21" s="20">
        <v>4.0</v>
      </c>
      <c r="G21" s="20">
        <v>5.0</v>
      </c>
      <c r="H21" s="20">
        <v>5.0</v>
      </c>
      <c r="I21" s="22">
        <v>5.0</v>
      </c>
      <c r="J21" s="22">
        <v>4.0</v>
      </c>
      <c r="K21" s="15">
        <v>4.0</v>
      </c>
    </row>
    <row r="22" ht="22.5" customHeight="1">
      <c r="A22" s="13" t="s">
        <v>43</v>
      </c>
      <c r="B22" s="14">
        <f>C22/B49 * 100</f>
        <v>80.28169014</v>
      </c>
      <c r="C22" s="15">
        <f t="shared" si="1"/>
        <v>57</v>
      </c>
      <c r="D22" s="16" t="b">
        <v>0</v>
      </c>
      <c r="E22" s="22">
        <v>0.0</v>
      </c>
      <c r="F22" s="20">
        <v>4.0</v>
      </c>
      <c r="G22" s="20">
        <v>5.0</v>
      </c>
      <c r="H22" s="20">
        <v>5.0</v>
      </c>
      <c r="I22" s="22">
        <v>5.0</v>
      </c>
      <c r="J22" s="22">
        <v>5.0</v>
      </c>
      <c r="K22" s="15">
        <v>4.0</v>
      </c>
    </row>
    <row r="23" ht="22.5" customHeight="1">
      <c r="A23" s="13" t="s">
        <v>44</v>
      </c>
      <c r="B23" s="14">
        <f>C23/B49 * 100</f>
        <v>71.83098592</v>
      </c>
      <c r="C23" s="15">
        <f t="shared" si="1"/>
        <v>51</v>
      </c>
      <c r="D23" s="16" t="b">
        <v>0</v>
      </c>
      <c r="E23" s="22">
        <v>0.0</v>
      </c>
      <c r="F23" s="20">
        <v>4.0</v>
      </c>
      <c r="G23" s="20">
        <v>5.0</v>
      </c>
      <c r="H23" s="20">
        <v>5.0</v>
      </c>
      <c r="I23" s="22">
        <v>5.0</v>
      </c>
      <c r="J23" s="22">
        <v>3.0</v>
      </c>
      <c r="K23" s="15">
        <v>4.0</v>
      </c>
    </row>
    <row r="24" ht="22.5" customHeight="1">
      <c r="A24" s="13" t="s">
        <v>45</v>
      </c>
      <c r="B24" s="14">
        <f>C24/B49 * 100</f>
        <v>71.83098592</v>
      </c>
      <c r="C24" s="15">
        <f t="shared" si="1"/>
        <v>51</v>
      </c>
      <c r="D24" s="16" t="b">
        <v>0</v>
      </c>
      <c r="E24" s="22">
        <v>0.0</v>
      </c>
      <c r="F24" s="20">
        <v>4.0</v>
      </c>
      <c r="G24" s="20">
        <v>5.0</v>
      </c>
      <c r="H24" s="20">
        <v>5.0</v>
      </c>
      <c r="I24" s="22">
        <v>5.0</v>
      </c>
      <c r="J24" s="22">
        <v>3.0</v>
      </c>
      <c r="K24" s="15">
        <v>4.0</v>
      </c>
    </row>
    <row r="25" ht="22.5" customHeight="1">
      <c r="A25" s="13" t="s">
        <v>46</v>
      </c>
      <c r="B25" s="14">
        <f>C25/B49 * 100</f>
        <v>76.05633803</v>
      </c>
      <c r="C25" s="15">
        <f t="shared" si="1"/>
        <v>54</v>
      </c>
      <c r="D25" s="16" t="b">
        <v>0</v>
      </c>
      <c r="E25" s="22">
        <v>0.0</v>
      </c>
      <c r="F25" s="20">
        <v>4.0</v>
      </c>
      <c r="G25" s="20">
        <v>5.0</v>
      </c>
      <c r="H25" s="20">
        <v>5.0</v>
      </c>
      <c r="I25" s="22">
        <v>5.0</v>
      </c>
      <c r="J25" s="22">
        <v>4.0</v>
      </c>
      <c r="K25" s="15">
        <v>4.0</v>
      </c>
    </row>
    <row r="26" ht="22.5" customHeight="1">
      <c r="A26" s="13" t="s">
        <v>47</v>
      </c>
      <c r="B26" s="14">
        <f>C26/B49 * 100</f>
        <v>78.87323944</v>
      </c>
      <c r="C26" s="15">
        <f t="shared" si="1"/>
        <v>56</v>
      </c>
      <c r="D26" s="16" t="b">
        <v>1</v>
      </c>
      <c r="E26" s="22">
        <v>2.0</v>
      </c>
      <c r="F26" s="20">
        <v>4.0</v>
      </c>
      <c r="G26" s="20">
        <v>5.0</v>
      </c>
      <c r="H26" s="20">
        <v>5.0</v>
      </c>
      <c r="I26" s="22">
        <v>5.0</v>
      </c>
      <c r="J26" s="22">
        <v>3.0</v>
      </c>
      <c r="K26" s="15">
        <v>4.0</v>
      </c>
    </row>
    <row r="27" ht="22.5" customHeight="1">
      <c r="A27" s="13" t="s">
        <v>48</v>
      </c>
      <c r="B27" s="14">
        <f>C27/B49 * 100</f>
        <v>71.83098592</v>
      </c>
      <c r="C27" s="15">
        <f t="shared" si="1"/>
        <v>51</v>
      </c>
      <c r="D27" s="16" t="b">
        <v>1</v>
      </c>
      <c r="E27" s="22">
        <v>1.0</v>
      </c>
      <c r="F27" s="20">
        <v>4.0</v>
      </c>
      <c r="G27" s="20">
        <v>5.0</v>
      </c>
      <c r="H27" s="20">
        <v>5.0</v>
      </c>
      <c r="I27" s="22">
        <v>4.0</v>
      </c>
      <c r="J27" s="22">
        <v>3.0</v>
      </c>
      <c r="K27" s="15">
        <v>4.0</v>
      </c>
    </row>
    <row r="28" ht="22.5" customHeight="1">
      <c r="A28" s="13" t="s">
        <v>49</v>
      </c>
      <c r="B28" s="14">
        <f>C28/B49 * 100</f>
        <v>81.69014085</v>
      </c>
      <c r="C28" s="15">
        <f t="shared" si="1"/>
        <v>58</v>
      </c>
      <c r="D28" s="16" t="b">
        <v>1</v>
      </c>
      <c r="E28" s="22">
        <v>3.0</v>
      </c>
      <c r="F28" s="20">
        <v>4.0</v>
      </c>
      <c r="G28" s="20">
        <v>5.0</v>
      </c>
      <c r="H28" s="20">
        <v>5.0</v>
      </c>
      <c r="I28" s="22">
        <v>4.0</v>
      </c>
      <c r="J28" s="22">
        <v>4.0</v>
      </c>
      <c r="K28" s="15">
        <v>4.0</v>
      </c>
    </row>
    <row r="29" ht="22.5" customHeight="1">
      <c r="A29" s="13" t="s">
        <v>50</v>
      </c>
      <c r="B29" s="14">
        <f>C29/B49 * 100</f>
        <v>67.6056338</v>
      </c>
      <c r="C29" s="15">
        <f t="shared" si="1"/>
        <v>48</v>
      </c>
      <c r="D29" s="16" t="b">
        <v>0</v>
      </c>
      <c r="E29" s="22">
        <v>0.0</v>
      </c>
      <c r="F29" s="20">
        <v>4.0</v>
      </c>
      <c r="G29" s="20">
        <v>5.0</v>
      </c>
      <c r="H29" s="20">
        <v>5.0</v>
      </c>
      <c r="I29" s="22">
        <v>3.0</v>
      </c>
      <c r="J29" s="22">
        <v>4.0</v>
      </c>
      <c r="K29" s="15">
        <v>4.0</v>
      </c>
    </row>
    <row r="30" ht="22.5" customHeight="1">
      <c r="A30" s="13" t="s">
        <v>51</v>
      </c>
      <c r="B30" s="14">
        <f>C30/B49 * 100</f>
        <v>67.6056338</v>
      </c>
      <c r="C30" s="15">
        <f t="shared" si="1"/>
        <v>48</v>
      </c>
      <c r="D30" s="16" t="b">
        <v>0</v>
      </c>
      <c r="E30" s="22">
        <v>0.0</v>
      </c>
      <c r="F30" s="20">
        <v>4.0</v>
      </c>
      <c r="G30" s="20">
        <v>5.0</v>
      </c>
      <c r="H30" s="20">
        <v>5.0</v>
      </c>
      <c r="I30" s="22">
        <v>3.0</v>
      </c>
      <c r="J30" s="22">
        <v>4.0</v>
      </c>
      <c r="K30" s="15">
        <v>4.0</v>
      </c>
    </row>
    <row r="31" ht="22.5" customHeight="1">
      <c r="A31" s="13" t="s">
        <v>52</v>
      </c>
      <c r="B31" s="14">
        <f>C31/B49 * 100</f>
        <v>67.6056338</v>
      </c>
      <c r="C31" s="15">
        <f t="shared" si="1"/>
        <v>48</v>
      </c>
      <c r="D31" s="16" t="b">
        <v>0</v>
      </c>
      <c r="E31" s="22">
        <v>0.0</v>
      </c>
      <c r="F31" s="20">
        <v>4.0</v>
      </c>
      <c r="G31" s="20">
        <v>5.0</v>
      </c>
      <c r="H31" s="20">
        <v>5.0</v>
      </c>
      <c r="I31" s="22">
        <v>3.0</v>
      </c>
      <c r="J31" s="22">
        <v>4.0</v>
      </c>
      <c r="K31" s="15">
        <v>4.0</v>
      </c>
    </row>
    <row r="32" ht="22.5" customHeight="1">
      <c r="A32" s="13" t="s">
        <v>53</v>
      </c>
      <c r="B32" s="14">
        <f>C32/B49 * 100</f>
        <v>77.46478873</v>
      </c>
      <c r="C32" s="15">
        <f t="shared" si="1"/>
        <v>55</v>
      </c>
      <c r="D32" s="16" t="b">
        <v>1</v>
      </c>
      <c r="E32" s="22">
        <v>3.0</v>
      </c>
      <c r="F32" s="20">
        <v>4.0</v>
      </c>
      <c r="G32" s="20">
        <v>5.0</v>
      </c>
      <c r="H32" s="20">
        <v>5.0</v>
      </c>
      <c r="I32" s="22">
        <v>4.0</v>
      </c>
      <c r="J32" s="22">
        <v>3.0</v>
      </c>
      <c r="K32" s="15">
        <v>4.0</v>
      </c>
    </row>
    <row r="33" ht="22.5" customHeight="1">
      <c r="A33" s="13" t="s">
        <v>54</v>
      </c>
      <c r="B33" s="14">
        <f>C33/B49 * 100</f>
        <v>77.46478873</v>
      </c>
      <c r="C33" s="15">
        <f t="shared" si="1"/>
        <v>55</v>
      </c>
      <c r="D33" s="16" t="b">
        <v>1</v>
      </c>
      <c r="E33" s="22">
        <v>3.0</v>
      </c>
      <c r="F33" s="20">
        <v>4.0</v>
      </c>
      <c r="G33" s="20">
        <v>5.0</v>
      </c>
      <c r="H33" s="20">
        <v>5.0</v>
      </c>
      <c r="I33" s="22">
        <v>4.0</v>
      </c>
      <c r="J33" s="22">
        <v>3.0</v>
      </c>
      <c r="K33" s="15">
        <v>4.0</v>
      </c>
    </row>
    <row r="34" ht="22.5" customHeight="1">
      <c r="A34" s="13" t="s">
        <v>55</v>
      </c>
      <c r="B34" s="14">
        <f>C34/B49 * 100</f>
        <v>73.23943662</v>
      </c>
      <c r="C34" s="15">
        <f t="shared" si="1"/>
        <v>52</v>
      </c>
      <c r="D34" s="16" t="b">
        <v>1</v>
      </c>
      <c r="E34" s="22">
        <v>3.0</v>
      </c>
      <c r="F34" s="20">
        <v>4.0</v>
      </c>
      <c r="G34" s="20">
        <v>5.0</v>
      </c>
      <c r="H34" s="20">
        <v>5.0</v>
      </c>
      <c r="I34" s="22">
        <v>3.0</v>
      </c>
      <c r="J34" s="22">
        <v>3.0</v>
      </c>
      <c r="K34" s="15">
        <v>4.0</v>
      </c>
    </row>
    <row r="35" ht="22.5" customHeight="1">
      <c r="A35" s="13" t="s">
        <v>56</v>
      </c>
      <c r="B35" s="14">
        <f>C35/B49 * 100</f>
        <v>76.05633803</v>
      </c>
      <c r="C35" s="15">
        <f t="shared" si="1"/>
        <v>54</v>
      </c>
      <c r="D35" s="16" t="b">
        <v>0</v>
      </c>
      <c r="E35" s="15">
        <v>0.0</v>
      </c>
      <c r="F35" s="20">
        <v>4.0</v>
      </c>
      <c r="G35" s="20">
        <v>5.0</v>
      </c>
      <c r="H35" s="20">
        <v>5.0</v>
      </c>
      <c r="I35" s="22">
        <v>5.0</v>
      </c>
      <c r="J35" s="22">
        <v>4.0</v>
      </c>
      <c r="K35" s="15">
        <v>4.0</v>
      </c>
    </row>
    <row r="36" ht="22.5" customHeight="1">
      <c r="A36" s="13" t="s">
        <v>57</v>
      </c>
      <c r="B36" s="14">
        <f>C36/B49 * 100</f>
        <v>76.05633803</v>
      </c>
      <c r="C36" s="15">
        <f t="shared" si="1"/>
        <v>54</v>
      </c>
      <c r="D36" s="16" t="b">
        <v>0</v>
      </c>
      <c r="E36" s="15">
        <v>0.0</v>
      </c>
      <c r="F36" s="20">
        <v>4.0</v>
      </c>
      <c r="G36" s="20">
        <v>5.0</v>
      </c>
      <c r="H36" s="20">
        <v>5.0</v>
      </c>
      <c r="I36" s="22">
        <v>5.0</v>
      </c>
      <c r="J36" s="22">
        <v>4.0</v>
      </c>
      <c r="K36" s="15">
        <v>4.0</v>
      </c>
    </row>
    <row r="37" ht="22.5" customHeight="1">
      <c r="A37" s="13" t="s">
        <v>58</v>
      </c>
      <c r="B37" s="14">
        <f>C37/B49 * 100</f>
        <v>67.6056338</v>
      </c>
      <c r="C37" s="15">
        <f t="shared" si="1"/>
        <v>48</v>
      </c>
      <c r="D37" s="16" t="b">
        <v>0</v>
      </c>
      <c r="E37" s="15">
        <v>0.0</v>
      </c>
      <c r="F37" s="20">
        <v>4.0</v>
      </c>
      <c r="G37" s="20">
        <v>5.0</v>
      </c>
      <c r="H37" s="20">
        <v>5.0</v>
      </c>
      <c r="I37" s="22">
        <v>3.0</v>
      </c>
      <c r="J37" s="22">
        <v>4.0</v>
      </c>
      <c r="K37" s="15">
        <v>4.0</v>
      </c>
    </row>
    <row r="38" ht="22.5" customHeight="1">
      <c r="A38" s="2" t="s">
        <v>59</v>
      </c>
      <c r="B38" s="3">
        <f>MEDIAN(Tabela_2[Nota Final (%)])</f>
        <v>76.05633803</v>
      </c>
      <c r="C38" s="4">
        <f>MEDIAN(Tabela_2[Pontos Totais (max 71)])</f>
        <v>54</v>
      </c>
      <c r="D38" s="2"/>
      <c r="E38" s="3">
        <f>AVERAGE(Tabela_2[o texo é legivel?])</f>
        <v>0.8333333333</v>
      </c>
      <c r="F38" s="4">
        <f>AVERAGE(Tabela_2[Resolução])</f>
        <v>4</v>
      </c>
      <c r="G38" s="3">
        <f>AVERAGE(Tabela_2[Qualidade Visual])</f>
        <v>5</v>
      </c>
      <c r="H38" s="4">
        <f>AVERAGE(Tabela_2[Enquadramento])</f>
        <v>5</v>
      </c>
      <c r="I38" s="3">
        <f>AVERAGE(Tabela_2[Alinhamento Prompt])</f>
        <v>4.361111111</v>
      </c>
      <c r="J38" s="4">
        <f>MEDIAN(Tabela_2[Alucinações])</f>
        <v>4</v>
      </c>
      <c r="K38" s="4">
        <f>AVERAGE(Tabela_2[Tamanho Prompt])</f>
        <v>4</v>
      </c>
    </row>
    <row r="40">
      <c r="J40" s="12" t="s">
        <v>63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57.74647887</v>
      </c>
      <c r="C2" s="15">
        <f>IF(D2, 1, 0) + (E2 * E49) + (F2 * F49) + (G2 * G49) + (H2 * H49) + (I2 * I49) + (J3 * J49) + (K2 * K49)</f>
        <v>41</v>
      </c>
      <c r="D2" s="16" t="b">
        <v>0</v>
      </c>
      <c r="E2" s="15">
        <v>0.0</v>
      </c>
      <c r="F2" s="15">
        <v>3.0</v>
      </c>
      <c r="G2" s="15">
        <v>4.0</v>
      </c>
      <c r="H2" s="15">
        <v>5.0</v>
      </c>
      <c r="I2" s="15">
        <v>2.0</v>
      </c>
      <c r="J2" s="23">
        <v>2.0</v>
      </c>
      <c r="K2" s="15">
        <v>5.0</v>
      </c>
    </row>
    <row r="3" ht="22.5" customHeight="1">
      <c r="A3" s="13" t="s">
        <v>24</v>
      </c>
      <c r="B3" s="14">
        <f>C3/B49 * 100</f>
        <v>59.15492958</v>
      </c>
      <c r="C3" s="15">
        <f t="shared" ref="C3:C37" si="1">IF(D3, 1, 0) + (E3 * E50) + (F3 * F50) + (G3 * G50) + (H3 * H50) + (I3 * I50) + (J3 * J50) + (K3 * K50)</f>
        <v>42</v>
      </c>
      <c r="D3" s="16" t="b">
        <v>1</v>
      </c>
      <c r="E3" s="15">
        <v>0.0</v>
      </c>
      <c r="F3" s="15">
        <v>3.0</v>
      </c>
      <c r="G3" s="15">
        <v>4.0</v>
      </c>
      <c r="H3" s="15">
        <v>5.0</v>
      </c>
      <c r="I3" s="15">
        <v>2.0</v>
      </c>
      <c r="J3" s="23">
        <v>3.0</v>
      </c>
      <c r="K3" s="15">
        <v>5.0</v>
      </c>
    </row>
    <row r="4" ht="22.5" customHeight="1">
      <c r="A4" s="13" t="s">
        <v>25</v>
      </c>
      <c r="B4" s="14">
        <f>C4/B49 * 100</f>
        <v>53.52112676</v>
      </c>
      <c r="C4" s="15">
        <f t="shared" si="1"/>
        <v>38</v>
      </c>
      <c r="D4" s="16" t="b">
        <v>0</v>
      </c>
      <c r="E4" s="20">
        <v>0.0</v>
      </c>
      <c r="F4" s="20">
        <v>3.0</v>
      </c>
      <c r="G4" s="20">
        <v>4.0</v>
      </c>
      <c r="H4" s="20">
        <v>5.0</v>
      </c>
      <c r="I4" s="20">
        <v>2.0</v>
      </c>
      <c r="J4" s="24">
        <v>2.0</v>
      </c>
      <c r="K4" s="21">
        <v>5.0</v>
      </c>
    </row>
    <row r="5" ht="22.5" customHeight="1">
      <c r="A5" s="13" t="s">
        <v>26</v>
      </c>
      <c r="B5" s="14">
        <f>C5/B49 * 100</f>
        <v>53.52112676</v>
      </c>
      <c r="C5" s="15">
        <f t="shared" si="1"/>
        <v>38</v>
      </c>
      <c r="D5" s="16" t="b">
        <v>0</v>
      </c>
      <c r="E5" s="20">
        <v>0.0</v>
      </c>
      <c r="F5" s="20">
        <v>3.0</v>
      </c>
      <c r="G5" s="20">
        <v>4.0</v>
      </c>
      <c r="H5" s="20">
        <v>5.0</v>
      </c>
      <c r="I5" s="20">
        <v>2.0</v>
      </c>
      <c r="J5" s="24">
        <v>2.0</v>
      </c>
      <c r="K5" s="21">
        <v>5.0</v>
      </c>
    </row>
    <row r="6" ht="22.5" customHeight="1">
      <c r="A6" s="13" t="s">
        <v>27</v>
      </c>
      <c r="B6" s="14">
        <f>C6/B49 * 100</f>
        <v>57.74647887</v>
      </c>
      <c r="C6" s="15">
        <f t="shared" si="1"/>
        <v>41</v>
      </c>
      <c r="D6" s="16" t="b">
        <v>0</v>
      </c>
      <c r="E6" s="20">
        <v>0.0</v>
      </c>
      <c r="F6" s="20">
        <v>3.0</v>
      </c>
      <c r="G6" s="20">
        <v>4.0</v>
      </c>
      <c r="H6" s="20">
        <v>5.0</v>
      </c>
      <c r="I6" s="20">
        <v>2.0</v>
      </c>
      <c r="J6" s="25">
        <v>3.0</v>
      </c>
      <c r="K6" s="21">
        <v>5.0</v>
      </c>
    </row>
    <row r="7" ht="22.5" customHeight="1">
      <c r="A7" s="13" t="s">
        <v>28</v>
      </c>
      <c r="B7" s="14">
        <f>C7/B49 * 100</f>
        <v>53.52112676</v>
      </c>
      <c r="C7" s="15">
        <f t="shared" si="1"/>
        <v>38</v>
      </c>
      <c r="D7" s="16" t="b">
        <v>0</v>
      </c>
      <c r="E7" s="20">
        <v>0.0</v>
      </c>
      <c r="F7" s="20">
        <v>3.0</v>
      </c>
      <c r="G7" s="20">
        <v>4.0</v>
      </c>
      <c r="H7" s="20">
        <v>5.0</v>
      </c>
      <c r="I7" s="20">
        <v>2.0</v>
      </c>
      <c r="J7" s="24">
        <v>2.0</v>
      </c>
      <c r="K7" s="21">
        <v>5.0</v>
      </c>
    </row>
    <row r="8" ht="22.5" customHeight="1">
      <c r="A8" s="13" t="s">
        <v>29</v>
      </c>
      <c r="B8" s="14">
        <f>C8/B49 * 100</f>
        <v>53.52112676</v>
      </c>
      <c r="C8" s="15">
        <f t="shared" si="1"/>
        <v>38</v>
      </c>
      <c r="D8" s="16" t="b">
        <v>0</v>
      </c>
      <c r="E8" s="20">
        <v>0.0</v>
      </c>
      <c r="F8" s="20">
        <v>3.0</v>
      </c>
      <c r="G8" s="20">
        <v>4.0</v>
      </c>
      <c r="H8" s="20">
        <v>5.0</v>
      </c>
      <c r="I8" s="22">
        <v>3.0</v>
      </c>
      <c r="J8" s="25">
        <v>1.0</v>
      </c>
      <c r="K8" s="21">
        <v>5.0</v>
      </c>
    </row>
    <row r="9" ht="22.5" customHeight="1">
      <c r="A9" s="13" t="s">
        <v>30</v>
      </c>
      <c r="B9" s="14">
        <f>C9/B49 * 100</f>
        <v>49.29577465</v>
      </c>
      <c r="C9" s="15">
        <f t="shared" si="1"/>
        <v>35</v>
      </c>
      <c r="D9" s="16" t="b">
        <v>0</v>
      </c>
      <c r="E9" s="20">
        <v>0.0</v>
      </c>
      <c r="F9" s="20">
        <v>3.0</v>
      </c>
      <c r="G9" s="20">
        <v>4.0</v>
      </c>
      <c r="H9" s="20">
        <v>5.0</v>
      </c>
      <c r="I9" s="22">
        <v>2.0</v>
      </c>
      <c r="J9" s="25">
        <v>1.0</v>
      </c>
      <c r="K9" s="15">
        <v>5.0</v>
      </c>
    </row>
    <row r="10" ht="22.5" customHeight="1">
      <c r="A10" s="13" t="s">
        <v>31</v>
      </c>
      <c r="B10" s="14">
        <f>C10/B49 * 100</f>
        <v>53.52112676</v>
      </c>
      <c r="C10" s="15">
        <f t="shared" si="1"/>
        <v>38</v>
      </c>
      <c r="D10" s="16" t="b">
        <v>0</v>
      </c>
      <c r="E10" s="26">
        <v>0.0</v>
      </c>
      <c r="F10" s="26">
        <v>3.0</v>
      </c>
      <c r="G10" s="26">
        <v>4.0</v>
      </c>
      <c r="H10" s="26">
        <v>5.0</v>
      </c>
      <c r="I10" s="27">
        <v>2.0</v>
      </c>
      <c r="J10" s="24">
        <v>2.0</v>
      </c>
      <c r="K10" s="15">
        <v>5.0</v>
      </c>
    </row>
    <row r="11" ht="22.5" customHeight="1">
      <c r="A11" s="13" t="s">
        <v>32</v>
      </c>
      <c r="B11" s="14">
        <f>C11/B49 * 100</f>
        <v>70.42253521</v>
      </c>
      <c r="C11" s="15">
        <f t="shared" si="1"/>
        <v>50</v>
      </c>
      <c r="D11" s="16" t="b">
        <v>0</v>
      </c>
      <c r="E11" s="26">
        <v>0.0</v>
      </c>
      <c r="F11" s="26">
        <v>3.0</v>
      </c>
      <c r="G11" s="26">
        <v>4.0</v>
      </c>
      <c r="H11" s="26">
        <v>5.0</v>
      </c>
      <c r="I11" s="27">
        <v>4.0</v>
      </c>
      <c r="J11" s="25">
        <v>4.0</v>
      </c>
      <c r="K11" s="15">
        <v>5.0</v>
      </c>
    </row>
    <row r="12" ht="22.5" customHeight="1">
      <c r="A12" s="13" t="s">
        <v>33</v>
      </c>
      <c r="B12" s="14">
        <f>C12/B49 * 100</f>
        <v>61.97183099</v>
      </c>
      <c r="C12" s="15">
        <f t="shared" si="1"/>
        <v>44</v>
      </c>
      <c r="D12" s="16" t="b">
        <v>0</v>
      </c>
      <c r="E12" s="26">
        <v>0.0</v>
      </c>
      <c r="F12" s="26">
        <v>3.0</v>
      </c>
      <c r="G12" s="26">
        <v>4.0</v>
      </c>
      <c r="H12" s="26">
        <v>5.0</v>
      </c>
      <c r="I12" s="26">
        <v>3.0</v>
      </c>
      <c r="J12" s="25">
        <v>3.0</v>
      </c>
      <c r="K12" s="15">
        <v>5.0</v>
      </c>
    </row>
    <row r="13" ht="22.5" customHeight="1">
      <c r="A13" s="13" t="s">
        <v>34</v>
      </c>
      <c r="B13" s="14">
        <f>C13/B49 * 100</f>
        <v>53.52112676</v>
      </c>
      <c r="C13" s="15">
        <f t="shared" si="1"/>
        <v>38</v>
      </c>
      <c r="D13" s="16" t="b">
        <v>0</v>
      </c>
      <c r="E13" s="26">
        <v>0.0</v>
      </c>
      <c r="F13" s="26">
        <v>3.0</v>
      </c>
      <c r="G13" s="26">
        <v>4.0</v>
      </c>
      <c r="H13" s="26">
        <v>5.0</v>
      </c>
      <c r="I13" s="27">
        <v>2.0</v>
      </c>
      <c r="J13" s="24">
        <v>2.0</v>
      </c>
      <c r="K13" s="15">
        <v>5.0</v>
      </c>
    </row>
    <row r="14" ht="22.5" customHeight="1">
      <c r="A14" s="13" t="s">
        <v>35</v>
      </c>
      <c r="B14" s="14">
        <f>C14/B49 * 100</f>
        <v>60.56338028</v>
      </c>
      <c r="C14" s="15">
        <f t="shared" si="1"/>
        <v>43</v>
      </c>
      <c r="D14" s="16" t="b">
        <v>0</v>
      </c>
      <c r="E14" s="26">
        <v>0.0</v>
      </c>
      <c r="F14" s="26">
        <v>3.0</v>
      </c>
      <c r="G14" s="27">
        <v>5.0</v>
      </c>
      <c r="H14" s="26">
        <v>5.0</v>
      </c>
      <c r="I14" s="26">
        <v>3.0</v>
      </c>
      <c r="J14" s="25">
        <v>2.0</v>
      </c>
      <c r="K14" s="15">
        <v>5.0</v>
      </c>
    </row>
    <row r="15" ht="22.5" customHeight="1">
      <c r="A15" s="13" t="s">
        <v>36</v>
      </c>
      <c r="B15" s="14">
        <f>C15/B49 * 100</f>
        <v>53.52112676</v>
      </c>
      <c r="C15" s="15">
        <f t="shared" si="1"/>
        <v>38</v>
      </c>
      <c r="D15" s="16" t="b">
        <v>0</v>
      </c>
      <c r="E15" s="26">
        <v>0.0</v>
      </c>
      <c r="F15" s="26">
        <v>3.0</v>
      </c>
      <c r="G15" s="26">
        <v>4.0</v>
      </c>
      <c r="H15" s="26">
        <v>5.0</v>
      </c>
      <c r="I15" s="27">
        <v>2.0</v>
      </c>
      <c r="J15" s="24">
        <v>2.0</v>
      </c>
      <c r="K15" s="15">
        <v>5.0</v>
      </c>
    </row>
    <row r="16" ht="22.5" customHeight="1">
      <c r="A16" s="13" t="s">
        <v>37</v>
      </c>
      <c r="B16" s="14">
        <f>C16/B49 * 100</f>
        <v>56.33802817</v>
      </c>
      <c r="C16" s="15">
        <f t="shared" si="1"/>
        <v>40</v>
      </c>
      <c r="D16" s="16" t="b">
        <v>0</v>
      </c>
      <c r="E16" s="26">
        <v>0.0</v>
      </c>
      <c r="F16" s="26">
        <v>3.0</v>
      </c>
      <c r="G16" s="27">
        <v>5.0</v>
      </c>
      <c r="H16" s="26">
        <v>5.0</v>
      </c>
      <c r="I16" s="27">
        <v>2.0</v>
      </c>
      <c r="J16" s="24">
        <v>2.0</v>
      </c>
      <c r="K16" s="15">
        <v>5.0</v>
      </c>
    </row>
    <row r="17" ht="22.5" customHeight="1">
      <c r="A17" s="13" t="s">
        <v>38</v>
      </c>
      <c r="B17" s="14">
        <f>C17/B49 * 100</f>
        <v>53.52112676</v>
      </c>
      <c r="C17" s="15">
        <f t="shared" si="1"/>
        <v>38</v>
      </c>
      <c r="D17" s="16" t="b">
        <v>0</v>
      </c>
      <c r="E17" s="26">
        <v>0.0</v>
      </c>
      <c r="F17" s="26">
        <v>3.0</v>
      </c>
      <c r="G17" s="26">
        <v>4.0</v>
      </c>
      <c r="H17" s="26">
        <v>5.0</v>
      </c>
      <c r="I17" s="26">
        <v>3.0</v>
      </c>
      <c r="J17" s="25">
        <v>1.0</v>
      </c>
      <c r="K17" s="15">
        <v>5.0</v>
      </c>
    </row>
    <row r="18" ht="22.5" customHeight="1">
      <c r="A18" s="13" t="s">
        <v>39</v>
      </c>
      <c r="B18" s="14">
        <f>C18/B49 * 100</f>
        <v>69.01408451</v>
      </c>
      <c r="C18" s="15">
        <f t="shared" si="1"/>
        <v>49</v>
      </c>
      <c r="D18" s="16" t="b">
        <v>0</v>
      </c>
      <c r="E18" s="26">
        <v>0.0</v>
      </c>
      <c r="F18" s="26">
        <v>3.0</v>
      </c>
      <c r="G18" s="27">
        <v>5.0</v>
      </c>
      <c r="H18" s="26">
        <v>5.0</v>
      </c>
      <c r="I18" s="26">
        <v>3.0</v>
      </c>
      <c r="J18" s="25">
        <v>4.0</v>
      </c>
      <c r="K18" s="15">
        <v>5.0</v>
      </c>
    </row>
    <row r="19" ht="22.5" customHeight="1">
      <c r="A19" s="13" t="s">
        <v>40</v>
      </c>
      <c r="B19" s="14">
        <f>C19/B49 * 100</f>
        <v>69.01408451</v>
      </c>
      <c r="C19" s="15">
        <f t="shared" si="1"/>
        <v>49</v>
      </c>
      <c r="D19" s="16" t="b">
        <v>0</v>
      </c>
      <c r="E19" s="26">
        <v>0.0</v>
      </c>
      <c r="F19" s="26">
        <v>3.0</v>
      </c>
      <c r="G19" s="27">
        <v>5.0</v>
      </c>
      <c r="H19" s="26">
        <v>5.0</v>
      </c>
      <c r="I19" s="26">
        <v>3.0</v>
      </c>
      <c r="J19" s="25">
        <v>4.0</v>
      </c>
      <c r="K19" s="15">
        <v>5.0</v>
      </c>
    </row>
    <row r="20" ht="22.5" customHeight="1">
      <c r="A20" s="13" t="s">
        <v>41</v>
      </c>
      <c r="B20" s="14">
        <f>C20/B49 * 100</f>
        <v>50.70422535</v>
      </c>
      <c r="C20" s="15">
        <f t="shared" si="1"/>
        <v>36</v>
      </c>
      <c r="D20" s="16" t="b">
        <v>0</v>
      </c>
      <c r="E20" s="26">
        <v>0.0</v>
      </c>
      <c r="F20" s="26">
        <v>3.0</v>
      </c>
      <c r="G20" s="27">
        <v>3.0</v>
      </c>
      <c r="H20" s="26">
        <v>5.0</v>
      </c>
      <c r="I20" s="27">
        <v>2.0</v>
      </c>
      <c r="J20" s="24">
        <v>2.0</v>
      </c>
      <c r="K20" s="15">
        <v>5.0</v>
      </c>
    </row>
    <row r="21" ht="22.5" customHeight="1">
      <c r="A21" s="13" t="s">
        <v>42</v>
      </c>
      <c r="B21" s="14">
        <f>C21/B49 * 100</f>
        <v>46.47887324</v>
      </c>
      <c r="C21" s="15">
        <f t="shared" si="1"/>
        <v>33</v>
      </c>
      <c r="D21" s="16" t="b">
        <v>0</v>
      </c>
      <c r="E21" s="26">
        <v>0.0</v>
      </c>
      <c r="F21" s="26">
        <v>3.0</v>
      </c>
      <c r="G21" s="27">
        <v>3.0</v>
      </c>
      <c r="H21" s="26">
        <v>5.0</v>
      </c>
      <c r="I21" s="27">
        <v>1.0</v>
      </c>
      <c r="J21" s="24">
        <v>2.0</v>
      </c>
      <c r="K21" s="15">
        <v>5.0</v>
      </c>
    </row>
    <row r="22" ht="22.5" customHeight="1">
      <c r="A22" s="13" t="s">
        <v>43</v>
      </c>
      <c r="B22" s="14">
        <f>C22/B49 * 100</f>
        <v>46.47887324</v>
      </c>
      <c r="C22" s="15">
        <f t="shared" si="1"/>
        <v>33</v>
      </c>
      <c r="D22" s="16" t="b">
        <v>0</v>
      </c>
      <c r="E22" s="26">
        <v>0.0</v>
      </c>
      <c r="F22" s="26">
        <v>3.0</v>
      </c>
      <c r="G22" s="27">
        <v>3.0</v>
      </c>
      <c r="H22" s="26">
        <v>5.0</v>
      </c>
      <c r="I22" s="27">
        <v>1.0</v>
      </c>
      <c r="J22" s="24">
        <v>2.0</v>
      </c>
      <c r="K22" s="15">
        <v>5.0</v>
      </c>
    </row>
    <row r="23" ht="22.5" customHeight="1">
      <c r="A23" s="13" t="s">
        <v>44</v>
      </c>
      <c r="B23" s="14">
        <f>C23/B49 * 100</f>
        <v>50.70422535</v>
      </c>
      <c r="C23" s="15">
        <f t="shared" si="1"/>
        <v>36</v>
      </c>
      <c r="D23" s="16" t="b">
        <v>0</v>
      </c>
      <c r="E23" s="26">
        <v>0.0</v>
      </c>
      <c r="F23" s="26">
        <v>3.0</v>
      </c>
      <c r="G23" s="27">
        <v>3.0</v>
      </c>
      <c r="H23" s="26">
        <v>5.0</v>
      </c>
      <c r="I23" s="27">
        <v>2.0</v>
      </c>
      <c r="J23" s="24">
        <v>2.0</v>
      </c>
      <c r="K23" s="15">
        <v>5.0</v>
      </c>
    </row>
    <row r="24" ht="22.5" customHeight="1">
      <c r="A24" s="13" t="s">
        <v>45</v>
      </c>
      <c r="B24" s="14">
        <f>C24/B49 * 100</f>
        <v>54.92957746</v>
      </c>
      <c r="C24" s="15">
        <f t="shared" si="1"/>
        <v>39</v>
      </c>
      <c r="D24" s="16" t="b">
        <v>0</v>
      </c>
      <c r="E24" s="26">
        <v>0.0</v>
      </c>
      <c r="F24" s="26">
        <v>3.0</v>
      </c>
      <c r="G24" s="27">
        <v>3.0</v>
      </c>
      <c r="H24" s="26">
        <v>5.0</v>
      </c>
      <c r="I24" s="27">
        <v>3.0</v>
      </c>
      <c r="J24" s="24">
        <v>2.0</v>
      </c>
      <c r="K24" s="15">
        <v>5.0</v>
      </c>
    </row>
    <row r="25" ht="22.5" customHeight="1">
      <c r="A25" s="13" t="s">
        <v>46</v>
      </c>
      <c r="B25" s="14">
        <f>C25/B49 * 100</f>
        <v>49.29577465</v>
      </c>
      <c r="C25" s="15">
        <f t="shared" si="1"/>
        <v>35</v>
      </c>
      <c r="D25" s="16" t="b">
        <v>0</v>
      </c>
      <c r="E25" s="26">
        <v>0.0</v>
      </c>
      <c r="F25" s="26">
        <v>3.0</v>
      </c>
      <c r="G25" s="26">
        <v>4.0</v>
      </c>
      <c r="H25" s="26">
        <v>5.0</v>
      </c>
      <c r="I25" s="27">
        <v>1.0</v>
      </c>
      <c r="J25" s="24">
        <v>2.0</v>
      </c>
      <c r="K25" s="15">
        <v>5.0</v>
      </c>
    </row>
    <row r="26" ht="22.5" customHeight="1">
      <c r="A26" s="13" t="s">
        <v>47</v>
      </c>
      <c r="B26" s="14">
        <f>C26/B49 * 100</f>
        <v>66.1971831</v>
      </c>
      <c r="C26" s="15">
        <f t="shared" si="1"/>
        <v>47</v>
      </c>
      <c r="D26" s="16" t="b">
        <v>1</v>
      </c>
      <c r="E26" s="27">
        <v>1.0</v>
      </c>
      <c r="F26" s="26">
        <v>3.0</v>
      </c>
      <c r="G26" s="26">
        <v>4.0</v>
      </c>
      <c r="H26" s="26">
        <v>5.0</v>
      </c>
      <c r="I26" s="26">
        <v>3.0</v>
      </c>
      <c r="J26" s="25">
        <v>3.0</v>
      </c>
      <c r="K26" s="15">
        <v>5.0</v>
      </c>
    </row>
    <row r="27" ht="22.5" customHeight="1">
      <c r="A27" s="13" t="s">
        <v>48</v>
      </c>
      <c r="B27" s="14">
        <f>C27/B49 * 100</f>
        <v>66.1971831</v>
      </c>
      <c r="C27" s="15">
        <f t="shared" si="1"/>
        <v>47</v>
      </c>
      <c r="D27" s="16" t="b">
        <v>1</v>
      </c>
      <c r="E27" s="27">
        <v>1.0</v>
      </c>
      <c r="F27" s="26">
        <v>3.0</v>
      </c>
      <c r="G27" s="26">
        <v>4.0</v>
      </c>
      <c r="H27" s="26">
        <v>5.0</v>
      </c>
      <c r="I27" s="26">
        <v>3.0</v>
      </c>
      <c r="J27" s="25">
        <v>3.0</v>
      </c>
      <c r="K27" s="15">
        <v>5.0</v>
      </c>
    </row>
    <row r="28" ht="22.5" customHeight="1">
      <c r="A28" s="13" t="s">
        <v>49</v>
      </c>
      <c r="B28" s="14">
        <f>C28/B49 * 100</f>
        <v>57.74647887</v>
      </c>
      <c r="C28" s="15">
        <f t="shared" si="1"/>
        <v>41</v>
      </c>
      <c r="D28" s="16" t="b">
        <v>0</v>
      </c>
      <c r="E28" s="26">
        <v>0.0</v>
      </c>
      <c r="F28" s="26">
        <v>3.0</v>
      </c>
      <c r="G28" s="26">
        <v>4.0</v>
      </c>
      <c r="H28" s="26">
        <v>5.0</v>
      </c>
      <c r="I28" s="27">
        <v>2.0</v>
      </c>
      <c r="J28" s="25">
        <v>3.0</v>
      </c>
      <c r="K28" s="15">
        <v>5.0</v>
      </c>
    </row>
    <row r="29" ht="22.5" customHeight="1">
      <c r="A29" s="13" t="s">
        <v>50</v>
      </c>
      <c r="B29" s="14">
        <f>C29/B49 * 100</f>
        <v>77.46478873</v>
      </c>
      <c r="C29" s="15">
        <f t="shared" si="1"/>
        <v>55</v>
      </c>
      <c r="D29" s="16" t="b">
        <v>0</v>
      </c>
      <c r="E29" s="26">
        <v>0.0</v>
      </c>
      <c r="F29" s="26">
        <v>3.0</v>
      </c>
      <c r="G29" s="27">
        <v>5.0</v>
      </c>
      <c r="H29" s="26">
        <v>5.0</v>
      </c>
      <c r="I29" s="27">
        <v>4.0</v>
      </c>
      <c r="J29" s="25">
        <v>5.0</v>
      </c>
      <c r="K29" s="15">
        <v>5.0</v>
      </c>
    </row>
    <row r="30" ht="22.5" customHeight="1">
      <c r="A30" s="13" t="s">
        <v>51</v>
      </c>
      <c r="B30" s="14">
        <f>C30/B49 * 100</f>
        <v>73.23943662</v>
      </c>
      <c r="C30" s="15">
        <f t="shared" si="1"/>
        <v>52</v>
      </c>
      <c r="D30" s="16" t="b">
        <v>0</v>
      </c>
      <c r="E30" s="26">
        <v>0.0</v>
      </c>
      <c r="F30" s="26">
        <v>3.0</v>
      </c>
      <c r="G30" s="27">
        <v>5.0</v>
      </c>
      <c r="H30" s="26">
        <v>5.0</v>
      </c>
      <c r="I30" s="27">
        <v>4.0</v>
      </c>
      <c r="J30" s="25">
        <v>4.0</v>
      </c>
      <c r="K30" s="15">
        <v>5.0</v>
      </c>
    </row>
    <row r="31" ht="22.5" customHeight="1">
      <c r="A31" s="13" t="s">
        <v>52</v>
      </c>
      <c r="B31" s="14">
        <f>C31/B49 * 100</f>
        <v>69.01408451</v>
      </c>
      <c r="C31" s="15">
        <f t="shared" si="1"/>
        <v>49</v>
      </c>
      <c r="D31" s="16" t="b">
        <v>0</v>
      </c>
      <c r="E31" s="26">
        <v>0.0</v>
      </c>
      <c r="F31" s="26">
        <v>3.0</v>
      </c>
      <c r="G31" s="27">
        <v>5.0</v>
      </c>
      <c r="H31" s="26">
        <v>5.0</v>
      </c>
      <c r="I31" s="27">
        <v>3.0</v>
      </c>
      <c r="J31" s="25">
        <v>4.0</v>
      </c>
      <c r="K31" s="15">
        <v>5.0</v>
      </c>
    </row>
    <row r="32" ht="22.5" customHeight="1">
      <c r="A32" s="13" t="s">
        <v>53</v>
      </c>
      <c r="B32" s="14">
        <f>C32/B49 * 100</f>
        <v>50.70422535</v>
      </c>
      <c r="C32" s="15">
        <f t="shared" si="1"/>
        <v>36</v>
      </c>
      <c r="D32" s="16" t="b">
        <v>0</v>
      </c>
      <c r="E32" s="26">
        <v>0.0</v>
      </c>
      <c r="F32" s="26">
        <v>3.0</v>
      </c>
      <c r="G32" s="27">
        <v>3.0</v>
      </c>
      <c r="H32" s="26">
        <v>5.0</v>
      </c>
      <c r="I32" s="27">
        <v>3.0</v>
      </c>
      <c r="J32" s="25">
        <v>1.0</v>
      </c>
      <c r="K32" s="15">
        <v>5.0</v>
      </c>
    </row>
    <row r="33" ht="22.5" customHeight="1">
      <c r="A33" s="13" t="s">
        <v>54</v>
      </c>
      <c r="B33" s="14">
        <f>C33/B49 * 100</f>
        <v>54.92957746</v>
      </c>
      <c r="C33" s="15">
        <f t="shared" si="1"/>
        <v>39</v>
      </c>
      <c r="D33" s="16" t="b">
        <v>1</v>
      </c>
      <c r="E33" s="27">
        <v>1.0</v>
      </c>
      <c r="F33" s="26">
        <v>3.0</v>
      </c>
      <c r="G33" s="26">
        <v>3.0</v>
      </c>
      <c r="H33" s="26">
        <v>5.0</v>
      </c>
      <c r="I33" s="26">
        <v>3.0</v>
      </c>
      <c r="J33" s="24">
        <v>1.0</v>
      </c>
      <c r="K33" s="15">
        <v>5.0</v>
      </c>
    </row>
    <row r="34" ht="22.5" customHeight="1">
      <c r="A34" s="13" t="s">
        <v>55</v>
      </c>
      <c r="B34" s="14">
        <f>C34/B49 * 100</f>
        <v>59.15492958</v>
      </c>
      <c r="C34" s="15">
        <f t="shared" si="1"/>
        <v>42</v>
      </c>
      <c r="D34" s="16" t="b">
        <v>1</v>
      </c>
      <c r="E34" s="27">
        <v>1.0</v>
      </c>
      <c r="F34" s="26">
        <v>3.0</v>
      </c>
      <c r="G34" s="26">
        <v>3.0</v>
      </c>
      <c r="H34" s="26">
        <v>5.0</v>
      </c>
      <c r="I34" s="26">
        <v>3.0</v>
      </c>
      <c r="J34" s="25">
        <v>2.0</v>
      </c>
      <c r="K34" s="15">
        <v>5.0</v>
      </c>
    </row>
    <row r="35" ht="22.5" customHeight="1">
      <c r="A35" s="13" t="s">
        <v>56</v>
      </c>
      <c r="B35" s="14">
        <f>C35/B49 * 100</f>
        <v>50.70422535</v>
      </c>
      <c r="C35" s="15">
        <f t="shared" si="1"/>
        <v>36</v>
      </c>
      <c r="D35" s="16" t="b">
        <v>0</v>
      </c>
      <c r="E35" s="26">
        <v>0.0</v>
      </c>
      <c r="F35" s="26">
        <v>3.0</v>
      </c>
      <c r="G35" s="26">
        <v>3.0</v>
      </c>
      <c r="H35" s="26">
        <v>5.0</v>
      </c>
      <c r="I35" s="27">
        <v>2.0</v>
      </c>
      <c r="J35" s="25">
        <v>2.0</v>
      </c>
      <c r="K35" s="15">
        <v>5.0</v>
      </c>
    </row>
    <row r="36" ht="22.5" customHeight="1">
      <c r="A36" s="13" t="s">
        <v>57</v>
      </c>
      <c r="B36" s="14">
        <f>C36/B49 * 100</f>
        <v>42.25352113</v>
      </c>
      <c r="C36" s="15">
        <f t="shared" si="1"/>
        <v>30</v>
      </c>
      <c r="D36" s="16" t="b">
        <v>0</v>
      </c>
      <c r="E36" s="26">
        <v>0.0</v>
      </c>
      <c r="F36" s="26">
        <v>3.0</v>
      </c>
      <c r="G36" s="26">
        <v>3.0</v>
      </c>
      <c r="H36" s="26">
        <v>5.0</v>
      </c>
      <c r="I36" s="27">
        <v>1.0</v>
      </c>
      <c r="J36" s="25">
        <v>1.0</v>
      </c>
      <c r="K36" s="15">
        <v>5.0</v>
      </c>
    </row>
    <row r="37" ht="22.5" customHeight="1">
      <c r="A37" s="13" t="s">
        <v>58</v>
      </c>
      <c r="B37" s="14">
        <f>C37/B49 * 100</f>
        <v>50.70422535</v>
      </c>
      <c r="C37" s="15">
        <f t="shared" si="1"/>
        <v>36</v>
      </c>
      <c r="D37" s="16" t="b">
        <v>0</v>
      </c>
      <c r="E37" s="26">
        <v>0.0</v>
      </c>
      <c r="F37" s="26">
        <v>3.0</v>
      </c>
      <c r="G37" s="26">
        <v>3.0</v>
      </c>
      <c r="H37" s="26">
        <v>5.0</v>
      </c>
      <c r="I37" s="27">
        <v>3.0</v>
      </c>
      <c r="J37" s="24">
        <v>1.0</v>
      </c>
      <c r="K37" s="15">
        <v>5.0</v>
      </c>
    </row>
    <row r="38" ht="22.5" customHeight="1">
      <c r="A38" s="2" t="s">
        <v>59</v>
      </c>
      <c r="B38" s="3">
        <f>MEDIAN(Tabela_3[Nota Final (%)])</f>
        <v>54.22535211</v>
      </c>
      <c r="C38" s="4">
        <f>MEDIAN(Tabela_3[Pontos Totais (max 71)])</f>
        <v>38.5</v>
      </c>
      <c r="D38" s="2"/>
      <c r="E38" s="3">
        <f>AVERAGE(Tabela_3[o texo é legivel?])</f>
        <v>0.1111111111</v>
      </c>
      <c r="F38" s="4">
        <f>AVERAGE(Tabela_3[Resolução])</f>
        <v>3</v>
      </c>
      <c r="G38" s="3">
        <f>AVERAGE(Tabela_3[Qualidade Visual])</f>
        <v>3.888888889</v>
      </c>
      <c r="H38" s="4">
        <f>AVERAGE(Tabela_3[Enquadramento])</f>
        <v>5</v>
      </c>
      <c r="I38" s="3">
        <f>AVERAGE(Tabela_3[Alinhamento Prompt])</f>
        <v>2.444444444</v>
      </c>
      <c r="J38" s="4">
        <f>MEDIAN(Tabela_3[Alucinações])</f>
        <v>2</v>
      </c>
      <c r="K38" s="4">
        <f>AVERAGE(Tabela_3[Tamanho Prompt])</f>
        <v>5</v>
      </c>
    </row>
    <row r="40">
      <c r="J40" s="12" t="s">
        <v>63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53.52112676</v>
      </c>
      <c r="C2" s="15">
        <f>IF(D2, 1, 0) + (E2 * E49) + (F2 * F49) + (G2 * G49) + (H2 * H49) + (I2 * I49) + (J3 * J49) + (K2 * K49)</f>
        <v>38</v>
      </c>
      <c r="D2" s="16" t="b">
        <v>0</v>
      </c>
      <c r="E2" s="15">
        <v>0.0</v>
      </c>
      <c r="F2" s="15">
        <v>3.0</v>
      </c>
      <c r="G2" s="15">
        <v>4.0</v>
      </c>
      <c r="H2" s="15">
        <v>5.0</v>
      </c>
      <c r="I2" s="15">
        <v>2.0</v>
      </c>
      <c r="J2" s="23">
        <v>2.0</v>
      </c>
      <c r="K2" s="15">
        <v>5.0</v>
      </c>
    </row>
    <row r="3" ht="22.5" customHeight="1">
      <c r="A3" s="13" t="s">
        <v>24</v>
      </c>
      <c r="B3" s="14">
        <f>C3/B49 * 100</f>
        <v>50.70422535</v>
      </c>
      <c r="C3" s="15">
        <f t="shared" ref="C3:C37" si="1">IF(D3, 1, 0) + (E3 * E50) + (F3 * F50) + (G3 * G50) + (H3 * H50) + (I3 * I50) + (J3 * J50) + (K3 * K50)</f>
        <v>36</v>
      </c>
      <c r="D3" s="16" t="b">
        <v>0</v>
      </c>
      <c r="E3" s="15">
        <v>0.0</v>
      </c>
      <c r="F3" s="15">
        <v>3.0</v>
      </c>
      <c r="G3" s="15">
        <v>4.0</v>
      </c>
      <c r="H3" s="15">
        <v>3.0</v>
      </c>
      <c r="I3" s="15">
        <v>2.0</v>
      </c>
      <c r="J3" s="23">
        <v>2.0</v>
      </c>
      <c r="K3" s="15">
        <v>5.0</v>
      </c>
    </row>
    <row r="4" ht="22.5" customHeight="1">
      <c r="A4" s="13" t="s">
        <v>25</v>
      </c>
      <c r="B4" s="14">
        <f>C4/B49 * 100</f>
        <v>50.70422535</v>
      </c>
      <c r="C4" s="15">
        <f t="shared" si="1"/>
        <v>36</v>
      </c>
      <c r="D4" s="16" t="b">
        <v>0</v>
      </c>
      <c r="E4" s="20">
        <v>0.0</v>
      </c>
      <c r="F4" s="20">
        <v>3.0</v>
      </c>
      <c r="G4" s="20">
        <v>4.0</v>
      </c>
      <c r="H4" s="22">
        <v>3.0</v>
      </c>
      <c r="I4" s="20">
        <v>2.0</v>
      </c>
      <c r="J4" s="24">
        <v>2.0</v>
      </c>
      <c r="K4" s="21">
        <v>5.0</v>
      </c>
    </row>
    <row r="5" ht="22.5" customHeight="1">
      <c r="A5" s="13" t="s">
        <v>26</v>
      </c>
      <c r="B5" s="14">
        <f>C5/B49 * 100</f>
        <v>59.15492958</v>
      </c>
      <c r="C5" s="15">
        <f t="shared" si="1"/>
        <v>42</v>
      </c>
      <c r="D5" s="16" t="b">
        <v>0</v>
      </c>
      <c r="E5" s="20">
        <v>0.0</v>
      </c>
      <c r="F5" s="20">
        <v>3.0</v>
      </c>
      <c r="G5" s="20">
        <v>4.0</v>
      </c>
      <c r="H5" s="22">
        <v>3.0</v>
      </c>
      <c r="I5" s="22">
        <v>3.0</v>
      </c>
      <c r="J5" s="25">
        <v>3.0</v>
      </c>
      <c r="K5" s="21">
        <v>5.0</v>
      </c>
    </row>
    <row r="6" ht="22.5" customHeight="1">
      <c r="A6" s="13" t="s">
        <v>27</v>
      </c>
      <c r="B6" s="14">
        <f>C6/B49 * 100</f>
        <v>52.11267606</v>
      </c>
      <c r="C6" s="15">
        <f t="shared" si="1"/>
        <v>37</v>
      </c>
      <c r="D6" s="16" t="b">
        <v>0</v>
      </c>
      <c r="E6" s="20">
        <v>0.0</v>
      </c>
      <c r="F6" s="20">
        <v>3.0</v>
      </c>
      <c r="G6" s="20">
        <v>4.0</v>
      </c>
      <c r="H6" s="22">
        <v>1.0</v>
      </c>
      <c r="I6" s="22">
        <v>2.0</v>
      </c>
      <c r="J6" s="25">
        <v>3.0</v>
      </c>
      <c r="K6" s="21">
        <v>5.0</v>
      </c>
    </row>
    <row r="7" ht="22.5" customHeight="1">
      <c r="A7" s="13" t="s">
        <v>28</v>
      </c>
      <c r="B7" s="14">
        <f>C7/B49 * 100</f>
        <v>46.47887324</v>
      </c>
      <c r="C7" s="15">
        <f t="shared" si="1"/>
        <v>33</v>
      </c>
      <c r="D7" s="16" t="b">
        <v>0</v>
      </c>
      <c r="E7" s="20">
        <v>0.0</v>
      </c>
      <c r="F7" s="20">
        <v>3.0</v>
      </c>
      <c r="G7" s="20">
        <v>4.0</v>
      </c>
      <c r="H7" s="22">
        <v>3.0</v>
      </c>
      <c r="I7" s="22">
        <v>1.0</v>
      </c>
      <c r="J7" s="24">
        <v>2.0</v>
      </c>
      <c r="K7" s="21">
        <v>5.0</v>
      </c>
    </row>
    <row r="8" ht="22.5" customHeight="1">
      <c r="A8" s="13" t="s">
        <v>29</v>
      </c>
      <c r="B8" s="14">
        <f>C8/B49 * 100</f>
        <v>56.33802817</v>
      </c>
      <c r="C8" s="15">
        <f t="shared" si="1"/>
        <v>40</v>
      </c>
      <c r="D8" s="16" t="b">
        <v>0</v>
      </c>
      <c r="E8" s="20">
        <v>0.0</v>
      </c>
      <c r="F8" s="20">
        <v>3.0</v>
      </c>
      <c r="G8" s="20">
        <v>4.0</v>
      </c>
      <c r="H8" s="22">
        <v>4.0</v>
      </c>
      <c r="I8" s="22">
        <v>3.0</v>
      </c>
      <c r="J8" s="24">
        <v>2.0</v>
      </c>
      <c r="K8" s="21">
        <v>5.0</v>
      </c>
    </row>
    <row r="9" ht="22.5" customHeight="1">
      <c r="A9" s="13" t="s">
        <v>30</v>
      </c>
      <c r="B9" s="14">
        <f>C9/B49 * 100</f>
        <v>49.29577465</v>
      </c>
      <c r="C9" s="15">
        <f t="shared" si="1"/>
        <v>35</v>
      </c>
      <c r="D9" s="16" t="b">
        <v>0</v>
      </c>
      <c r="E9" s="20">
        <v>0.0</v>
      </c>
      <c r="F9" s="20">
        <v>3.0</v>
      </c>
      <c r="G9" s="20">
        <v>4.0</v>
      </c>
      <c r="H9" s="20">
        <v>5.0</v>
      </c>
      <c r="I9" s="22">
        <v>1.0</v>
      </c>
      <c r="J9" s="24">
        <v>2.0</v>
      </c>
      <c r="K9" s="15">
        <v>5.0</v>
      </c>
    </row>
    <row r="10" ht="22.5" customHeight="1">
      <c r="A10" s="13" t="s">
        <v>31</v>
      </c>
      <c r="B10" s="14">
        <f>C10/B49 * 100</f>
        <v>57.74647887</v>
      </c>
      <c r="C10" s="15">
        <f t="shared" si="1"/>
        <v>41</v>
      </c>
      <c r="D10" s="16" t="b">
        <v>0</v>
      </c>
      <c r="E10" s="20">
        <v>0.0</v>
      </c>
      <c r="F10" s="20">
        <v>3.0</v>
      </c>
      <c r="G10" s="20">
        <v>4.0</v>
      </c>
      <c r="H10" s="20">
        <v>5.0</v>
      </c>
      <c r="I10" s="22">
        <v>3.0</v>
      </c>
      <c r="J10" s="25">
        <v>2.0</v>
      </c>
      <c r="K10" s="15">
        <v>5.0</v>
      </c>
    </row>
    <row r="11" ht="22.5" customHeight="1">
      <c r="A11" s="13" t="s">
        <v>32</v>
      </c>
      <c r="B11" s="14">
        <f>C11/B49 * 100</f>
        <v>46.47887324</v>
      </c>
      <c r="C11" s="15">
        <f t="shared" si="1"/>
        <v>33</v>
      </c>
      <c r="D11" s="16" t="b">
        <v>0</v>
      </c>
      <c r="E11" s="20">
        <v>0.0</v>
      </c>
      <c r="F11" s="20">
        <v>3.0</v>
      </c>
      <c r="G11" s="22">
        <v>3.0</v>
      </c>
      <c r="H11" s="22">
        <v>5.0</v>
      </c>
      <c r="I11" s="20">
        <v>2.0</v>
      </c>
      <c r="J11" s="25">
        <v>1.0</v>
      </c>
      <c r="K11" s="15">
        <v>5.0</v>
      </c>
    </row>
    <row r="12" ht="22.5" customHeight="1">
      <c r="A12" s="13" t="s">
        <v>33</v>
      </c>
      <c r="B12" s="14">
        <f>C12/B49 * 100</f>
        <v>54.92957746</v>
      </c>
      <c r="C12" s="15">
        <f t="shared" si="1"/>
        <v>39</v>
      </c>
      <c r="D12" s="16" t="b">
        <v>0</v>
      </c>
      <c r="E12" s="20">
        <v>0.0</v>
      </c>
      <c r="F12" s="20">
        <v>3.0</v>
      </c>
      <c r="G12" s="22">
        <v>3.0</v>
      </c>
      <c r="H12" s="22">
        <v>5.0</v>
      </c>
      <c r="I12" s="20">
        <v>2.0</v>
      </c>
      <c r="J12" s="25">
        <v>3.0</v>
      </c>
      <c r="K12" s="15">
        <v>5.0</v>
      </c>
    </row>
    <row r="13" ht="22.5" customHeight="1">
      <c r="A13" s="13" t="s">
        <v>34</v>
      </c>
      <c r="B13" s="14">
        <f>C13/B49 * 100</f>
        <v>42.25352113</v>
      </c>
      <c r="C13" s="15">
        <f t="shared" si="1"/>
        <v>30</v>
      </c>
      <c r="D13" s="16" t="b">
        <v>0</v>
      </c>
      <c r="E13" s="20">
        <v>0.0</v>
      </c>
      <c r="F13" s="20">
        <v>3.0</v>
      </c>
      <c r="G13" s="22">
        <v>3.0</v>
      </c>
      <c r="H13" s="22">
        <v>5.0</v>
      </c>
      <c r="I13" s="22">
        <v>1.0</v>
      </c>
      <c r="J13" s="25">
        <v>1.0</v>
      </c>
      <c r="K13" s="15">
        <v>5.0</v>
      </c>
    </row>
    <row r="14" ht="22.5" customHeight="1">
      <c r="A14" s="13" t="s">
        <v>35</v>
      </c>
      <c r="B14" s="14">
        <f>C14/B49 * 100</f>
        <v>42.25352113</v>
      </c>
      <c r="C14" s="15">
        <f t="shared" si="1"/>
        <v>30</v>
      </c>
      <c r="D14" s="16" t="b">
        <v>0</v>
      </c>
      <c r="E14" s="20">
        <v>0.0</v>
      </c>
      <c r="F14" s="20">
        <v>3.0</v>
      </c>
      <c r="G14" s="22">
        <v>3.0</v>
      </c>
      <c r="H14" s="22">
        <v>2.0</v>
      </c>
      <c r="I14" s="22">
        <v>2.0</v>
      </c>
      <c r="J14" s="25">
        <v>1.0</v>
      </c>
      <c r="K14" s="15">
        <v>5.0</v>
      </c>
    </row>
    <row r="15" ht="22.5" customHeight="1">
      <c r="A15" s="13" t="s">
        <v>36</v>
      </c>
      <c r="B15" s="14">
        <f>C15/B49 * 100</f>
        <v>42.25352113</v>
      </c>
      <c r="C15" s="15">
        <f t="shared" si="1"/>
        <v>30</v>
      </c>
      <c r="D15" s="16" t="b">
        <v>0</v>
      </c>
      <c r="E15" s="20">
        <v>0.0</v>
      </c>
      <c r="F15" s="20">
        <v>3.0</v>
      </c>
      <c r="G15" s="22">
        <v>3.0</v>
      </c>
      <c r="H15" s="22">
        <v>2.0</v>
      </c>
      <c r="I15" s="22">
        <v>2.0</v>
      </c>
      <c r="J15" s="25">
        <v>1.0</v>
      </c>
      <c r="K15" s="15">
        <v>5.0</v>
      </c>
    </row>
    <row r="16" ht="22.5" customHeight="1">
      <c r="A16" s="13" t="s">
        <v>37</v>
      </c>
      <c r="B16" s="14">
        <f>C16/B49 * 100</f>
        <v>40.84507042</v>
      </c>
      <c r="C16" s="15">
        <f t="shared" si="1"/>
        <v>29</v>
      </c>
      <c r="D16" s="16" t="b">
        <v>0</v>
      </c>
      <c r="E16" s="20">
        <v>0.0</v>
      </c>
      <c r="F16" s="20">
        <v>3.0</v>
      </c>
      <c r="G16" s="22">
        <v>3.0</v>
      </c>
      <c r="H16" s="22">
        <v>4.0</v>
      </c>
      <c r="I16" s="22">
        <v>1.0</v>
      </c>
      <c r="J16" s="25">
        <v>1.0</v>
      </c>
      <c r="K16" s="15">
        <v>5.0</v>
      </c>
    </row>
    <row r="17" ht="22.5" customHeight="1">
      <c r="A17" s="13" t="s">
        <v>38</v>
      </c>
      <c r="B17" s="14">
        <f>C17/B49 * 100</f>
        <v>67.6056338</v>
      </c>
      <c r="C17" s="15">
        <f t="shared" si="1"/>
        <v>48</v>
      </c>
      <c r="D17" s="16" t="b">
        <v>0</v>
      </c>
      <c r="E17" s="20">
        <v>0.0</v>
      </c>
      <c r="F17" s="20">
        <v>3.0</v>
      </c>
      <c r="G17" s="22">
        <v>3.0</v>
      </c>
      <c r="H17" s="22">
        <v>5.0</v>
      </c>
      <c r="I17" s="22">
        <v>4.0</v>
      </c>
      <c r="J17" s="25">
        <v>4.0</v>
      </c>
      <c r="K17" s="15">
        <v>5.0</v>
      </c>
    </row>
    <row r="18" ht="22.5" customHeight="1">
      <c r="A18" s="13" t="s">
        <v>39</v>
      </c>
      <c r="B18" s="14">
        <f>C18/B49 * 100</f>
        <v>59.15492958</v>
      </c>
      <c r="C18" s="15">
        <f t="shared" si="1"/>
        <v>42</v>
      </c>
      <c r="D18" s="16" t="b">
        <v>0</v>
      </c>
      <c r="E18" s="20">
        <v>0.0</v>
      </c>
      <c r="F18" s="20">
        <v>3.0</v>
      </c>
      <c r="G18" s="22">
        <v>3.0</v>
      </c>
      <c r="H18" s="22">
        <v>5.0</v>
      </c>
      <c r="I18" s="22">
        <v>3.0</v>
      </c>
      <c r="J18" s="25">
        <v>3.0</v>
      </c>
      <c r="K18" s="15">
        <v>5.0</v>
      </c>
    </row>
    <row r="19" ht="22.5" customHeight="1">
      <c r="A19" s="13" t="s">
        <v>40</v>
      </c>
      <c r="B19" s="14">
        <f>C19/B49 * 100</f>
        <v>46.47887324</v>
      </c>
      <c r="C19" s="15">
        <f t="shared" si="1"/>
        <v>33</v>
      </c>
      <c r="D19" s="16" t="b">
        <v>0</v>
      </c>
      <c r="E19" s="20">
        <v>0.0</v>
      </c>
      <c r="F19" s="20">
        <v>3.0</v>
      </c>
      <c r="G19" s="22">
        <v>3.0</v>
      </c>
      <c r="H19" s="22">
        <v>5.0</v>
      </c>
      <c r="I19" s="22">
        <v>1.0</v>
      </c>
      <c r="J19" s="25">
        <v>2.0</v>
      </c>
      <c r="K19" s="15">
        <v>5.0</v>
      </c>
    </row>
    <row r="20" ht="22.5" customHeight="1">
      <c r="A20" s="13" t="s">
        <v>41</v>
      </c>
      <c r="B20" s="14">
        <f>C20/B49 * 100</f>
        <v>43.66197183</v>
      </c>
      <c r="C20" s="15">
        <f t="shared" si="1"/>
        <v>31</v>
      </c>
      <c r="D20" s="16" t="b">
        <v>0</v>
      </c>
      <c r="E20" s="20">
        <v>0.0</v>
      </c>
      <c r="F20" s="20">
        <v>3.0</v>
      </c>
      <c r="G20" s="22">
        <v>3.0</v>
      </c>
      <c r="H20" s="22">
        <v>3.0</v>
      </c>
      <c r="I20" s="22">
        <v>1.0</v>
      </c>
      <c r="J20" s="25">
        <v>2.0</v>
      </c>
      <c r="K20" s="15">
        <v>5.0</v>
      </c>
    </row>
    <row r="21" ht="22.5" customHeight="1">
      <c r="A21" s="13" t="s">
        <v>42</v>
      </c>
      <c r="B21" s="14">
        <f>C21/B49 * 100</f>
        <v>40.84507042</v>
      </c>
      <c r="C21" s="15">
        <f t="shared" si="1"/>
        <v>29</v>
      </c>
      <c r="D21" s="16" t="b">
        <v>0</v>
      </c>
      <c r="E21" s="20">
        <v>0.0</v>
      </c>
      <c r="F21" s="20">
        <v>3.0</v>
      </c>
      <c r="G21" s="22">
        <v>2.0</v>
      </c>
      <c r="H21" s="22">
        <v>3.0</v>
      </c>
      <c r="I21" s="22">
        <v>1.0</v>
      </c>
      <c r="J21" s="25">
        <v>2.0</v>
      </c>
      <c r="K21" s="15">
        <v>5.0</v>
      </c>
    </row>
    <row r="22" ht="22.5" customHeight="1">
      <c r="A22" s="13" t="s">
        <v>43</v>
      </c>
      <c r="B22" s="14">
        <f>C22/B49 * 100</f>
        <v>43.66197183</v>
      </c>
      <c r="C22" s="15">
        <f t="shared" si="1"/>
        <v>31</v>
      </c>
      <c r="D22" s="16" t="b">
        <v>0</v>
      </c>
      <c r="E22" s="20">
        <v>0.0</v>
      </c>
      <c r="F22" s="20">
        <v>3.0</v>
      </c>
      <c r="G22" s="22">
        <v>3.0</v>
      </c>
      <c r="H22" s="22">
        <v>3.0</v>
      </c>
      <c r="I22" s="22">
        <v>2.0</v>
      </c>
      <c r="J22" s="25">
        <v>1.0</v>
      </c>
      <c r="K22" s="15">
        <v>5.0</v>
      </c>
    </row>
    <row r="23" ht="22.5" customHeight="1">
      <c r="A23" s="13" t="s">
        <v>44</v>
      </c>
      <c r="B23" s="14">
        <f>C23/B49 * 100</f>
        <v>49.29577465</v>
      </c>
      <c r="C23" s="15">
        <f t="shared" si="1"/>
        <v>35</v>
      </c>
      <c r="D23" s="16" t="b">
        <v>0</v>
      </c>
      <c r="E23" s="20">
        <v>0.0</v>
      </c>
      <c r="F23" s="20">
        <v>3.0</v>
      </c>
      <c r="G23" s="22">
        <v>3.0</v>
      </c>
      <c r="H23" s="22">
        <v>4.0</v>
      </c>
      <c r="I23" s="22">
        <v>2.0</v>
      </c>
      <c r="J23" s="25">
        <v>2.0</v>
      </c>
      <c r="K23" s="15">
        <v>5.0</v>
      </c>
    </row>
    <row r="24" ht="22.5" customHeight="1">
      <c r="A24" s="13" t="s">
        <v>45</v>
      </c>
      <c r="B24" s="14">
        <f>C24/B49 * 100</f>
        <v>47.88732394</v>
      </c>
      <c r="C24" s="15">
        <f t="shared" si="1"/>
        <v>34</v>
      </c>
      <c r="D24" s="16" t="b">
        <v>0</v>
      </c>
      <c r="E24" s="20">
        <v>0.0</v>
      </c>
      <c r="F24" s="20">
        <v>3.0</v>
      </c>
      <c r="G24" s="22">
        <v>3.0</v>
      </c>
      <c r="H24" s="22">
        <v>3.0</v>
      </c>
      <c r="I24" s="22">
        <v>2.0</v>
      </c>
      <c r="J24" s="25">
        <v>2.0</v>
      </c>
      <c r="K24" s="15">
        <v>5.0</v>
      </c>
    </row>
    <row r="25" ht="22.5" customHeight="1">
      <c r="A25" s="13" t="s">
        <v>46</v>
      </c>
      <c r="B25" s="14">
        <f>C25/B49 * 100</f>
        <v>38.02816901</v>
      </c>
      <c r="C25" s="15">
        <f t="shared" si="1"/>
        <v>27</v>
      </c>
      <c r="D25" s="16" t="b">
        <v>0</v>
      </c>
      <c r="E25" s="20">
        <v>0.0</v>
      </c>
      <c r="F25" s="20">
        <v>3.0</v>
      </c>
      <c r="G25" s="22">
        <v>3.0</v>
      </c>
      <c r="H25" s="22">
        <v>2.0</v>
      </c>
      <c r="I25" s="22">
        <v>1.0</v>
      </c>
      <c r="J25" s="25">
        <v>1.0</v>
      </c>
      <c r="K25" s="15">
        <v>5.0</v>
      </c>
    </row>
    <row r="26" ht="22.5" customHeight="1">
      <c r="A26" s="13" t="s">
        <v>47</v>
      </c>
      <c r="B26" s="14">
        <f>C26/B49 * 100</f>
        <v>43.66197183</v>
      </c>
      <c r="C26" s="15">
        <f t="shared" si="1"/>
        <v>31</v>
      </c>
      <c r="D26" s="16" t="b">
        <v>0</v>
      </c>
      <c r="E26" s="20">
        <v>0.0</v>
      </c>
      <c r="F26" s="20">
        <v>3.0</v>
      </c>
      <c r="G26" s="22">
        <v>3.0</v>
      </c>
      <c r="H26" s="22">
        <v>3.0</v>
      </c>
      <c r="I26" s="22">
        <v>2.0</v>
      </c>
      <c r="J26" s="25">
        <v>1.0</v>
      </c>
      <c r="K26" s="15">
        <v>5.0</v>
      </c>
    </row>
    <row r="27" ht="22.5" customHeight="1">
      <c r="A27" s="13" t="s">
        <v>48</v>
      </c>
      <c r="B27" s="14">
        <f>C27/B49 * 100</f>
        <v>47.88732394</v>
      </c>
      <c r="C27" s="15">
        <f t="shared" si="1"/>
        <v>34</v>
      </c>
      <c r="D27" s="16" t="b">
        <v>0</v>
      </c>
      <c r="E27" s="20">
        <v>0.0</v>
      </c>
      <c r="F27" s="20">
        <v>3.0</v>
      </c>
      <c r="G27" s="22">
        <v>3.0</v>
      </c>
      <c r="H27" s="22">
        <v>3.0</v>
      </c>
      <c r="I27" s="22">
        <v>2.0</v>
      </c>
      <c r="J27" s="25">
        <v>2.0</v>
      </c>
      <c r="K27" s="15">
        <v>5.0</v>
      </c>
    </row>
    <row r="28" ht="22.5" customHeight="1">
      <c r="A28" s="13" t="s">
        <v>49</v>
      </c>
      <c r="B28" s="14">
        <f>C28/B49 * 100</f>
        <v>38.02816901</v>
      </c>
      <c r="C28" s="15">
        <f t="shared" si="1"/>
        <v>27</v>
      </c>
      <c r="D28" s="16" t="b">
        <v>0</v>
      </c>
      <c r="E28" s="20">
        <v>0.0</v>
      </c>
      <c r="F28" s="20">
        <v>3.0</v>
      </c>
      <c r="G28" s="22">
        <v>3.0</v>
      </c>
      <c r="H28" s="22">
        <v>2.0</v>
      </c>
      <c r="I28" s="22">
        <v>1.0</v>
      </c>
      <c r="J28" s="25">
        <v>1.0</v>
      </c>
      <c r="K28" s="15">
        <v>5.0</v>
      </c>
    </row>
    <row r="29" ht="22.5" customHeight="1">
      <c r="A29" s="13" t="s">
        <v>50</v>
      </c>
      <c r="B29" s="14">
        <f>C29/B49 * 100</f>
        <v>61.97183099</v>
      </c>
      <c r="C29" s="15">
        <f t="shared" si="1"/>
        <v>44</v>
      </c>
      <c r="D29" s="16" t="b">
        <v>0</v>
      </c>
      <c r="E29" s="20">
        <v>0.0</v>
      </c>
      <c r="F29" s="20">
        <v>3.0</v>
      </c>
      <c r="G29" s="22">
        <v>4.0</v>
      </c>
      <c r="H29" s="22">
        <v>5.0</v>
      </c>
      <c r="I29" s="22">
        <v>3.0</v>
      </c>
      <c r="J29" s="25">
        <v>3.0</v>
      </c>
      <c r="K29" s="15">
        <v>5.0</v>
      </c>
    </row>
    <row r="30" ht="22.5" customHeight="1">
      <c r="A30" s="13" t="s">
        <v>51</v>
      </c>
      <c r="B30" s="14">
        <f>C30/B49 * 100</f>
        <v>39.43661972</v>
      </c>
      <c r="C30" s="15">
        <f t="shared" si="1"/>
        <v>28</v>
      </c>
      <c r="D30" s="16" t="b">
        <v>0</v>
      </c>
      <c r="E30" s="20">
        <v>0.0</v>
      </c>
      <c r="F30" s="20">
        <v>3.0</v>
      </c>
      <c r="G30" s="22">
        <v>4.0</v>
      </c>
      <c r="H30" s="22">
        <v>1.0</v>
      </c>
      <c r="I30" s="22">
        <v>1.0</v>
      </c>
      <c r="J30" s="25">
        <v>1.0</v>
      </c>
      <c r="K30" s="15">
        <v>5.0</v>
      </c>
    </row>
    <row r="31" ht="22.5" customHeight="1">
      <c r="A31" s="13" t="s">
        <v>52</v>
      </c>
      <c r="B31" s="14">
        <f>C31/B49 * 100</f>
        <v>39.43661972</v>
      </c>
      <c r="C31" s="15">
        <f t="shared" si="1"/>
        <v>28</v>
      </c>
      <c r="D31" s="16" t="b">
        <v>0</v>
      </c>
      <c r="E31" s="20">
        <v>0.0</v>
      </c>
      <c r="F31" s="20">
        <v>3.0</v>
      </c>
      <c r="G31" s="22">
        <v>2.0</v>
      </c>
      <c r="H31" s="22">
        <v>5.0</v>
      </c>
      <c r="I31" s="22">
        <v>1.0</v>
      </c>
      <c r="J31" s="25">
        <v>1.0</v>
      </c>
      <c r="K31" s="15">
        <v>5.0</v>
      </c>
    </row>
    <row r="32" ht="22.5" customHeight="1">
      <c r="A32" s="13" t="s">
        <v>53</v>
      </c>
      <c r="B32" s="14">
        <f>C32/B49 * 100</f>
        <v>43.66197183</v>
      </c>
      <c r="C32" s="15">
        <f t="shared" si="1"/>
        <v>31</v>
      </c>
      <c r="D32" s="16" t="b">
        <v>0</v>
      </c>
      <c r="E32" s="20">
        <v>0.0</v>
      </c>
      <c r="F32" s="20">
        <v>3.0</v>
      </c>
      <c r="G32" s="22">
        <v>2.0</v>
      </c>
      <c r="H32" s="22">
        <v>5.0</v>
      </c>
      <c r="I32" s="22">
        <v>2.0</v>
      </c>
      <c r="J32" s="25">
        <v>1.0</v>
      </c>
      <c r="K32" s="15">
        <v>5.0</v>
      </c>
    </row>
    <row r="33" ht="22.5" customHeight="1">
      <c r="A33" s="13" t="s">
        <v>54</v>
      </c>
      <c r="B33" s="14">
        <f>C33/B49 * 100</f>
        <v>69.01408451</v>
      </c>
      <c r="C33" s="15">
        <f t="shared" si="1"/>
        <v>49</v>
      </c>
      <c r="D33" s="16" t="b">
        <v>0</v>
      </c>
      <c r="E33" s="20">
        <v>0.0</v>
      </c>
      <c r="F33" s="20">
        <v>3.0</v>
      </c>
      <c r="G33" s="22">
        <v>5.0</v>
      </c>
      <c r="H33" s="22">
        <v>5.0</v>
      </c>
      <c r="I33" s="22">
        <v>3.0</v>
      </c>
      <c r="J33" s="25">
        <v>4.0</v>
      </c>
      <c r="K33" s="15">
        <v>5.0</v>
      </c>
    </row>
    <row r="34" ht="22.5" customHeight="1">
      <c r="A34" s="13" t="s">
        <v>55</v>
      </c>
      <c r="B34" s="14">
        <f>C34/B49 * 100</f>
        <v>53.52112676</v>
      </c>
      <c r="C34" s="15">
        <f t="shared" si="1"/>
        <v>38</v>
      </c>
      <c r="D34" s="16" t="b">
        <v>0</v>
      </c>
      <c r="E34" s="20">
        <v>0.0</v>
      </c>
      <c r="F34" s="20">
        <v>3.0</v>
      </c>
      <c r="G34" s="22">
        <v>4.0</v>
      </c>
      <c r="H34" s="22">
        <v>5.0</v>
      </c>
      <c r="I34" s="22">
        <v>2.0</v>
      </c>
      <c r="J34" s="25">
        <v>2.0</v>
      </c>
      <c r="K34" s="15">
        <v>5.0</v>
      </c>
    </row>
    <row r="35" ht="22.5" customHeight="1">
      <c r="A35" s="13" t="s">
        <v>56</v>
      </c>
      <c r="B35" s="14">
        <f>C35/B49 * 100</f>
        <v>57.74647887</v>
      </c>
      <c r="C35" s="15">
        <f t="shared" si="1"/>
        <v>41</v>
      </c>
      <c r="D35" s="16" t="b">
        <v>0</v>
      </c>
      <c r="E35" s="20">
        <v>0.0</v>
      </c>
      <c r="F35" s="20">
        <v>3.0</v>
      </c>
      <c r="G35" s="22">
        <v>4.0</v>
      </c>
      <c r="H35" s="22">
        <v>5.0</v>
      </c>
      <c r="I35" s="22">
        <v>2.0</v>
      </c>
      <c r="J35" s="25">
        <v>3.0</v>
      </c>
      <c r="K35" s="15">
        <v>5.0</v>
      </c>
    </row>
    <row r="36" ht="22.5" customHeight="1">
      <c r="A36" s="13" t="s">
        <v>57</v>
      </c>
      <c r="B36" s="14">
        <f>C36/B49 * 100</f>
        <v>42.25352113</v>
      </c>
      <c r="C36" s="15">
        <f t="shared" si="1"/>
        <v>30</v>
      </c>
      <c r="D36" s="16" t="b">
        <v>0</v>
      </c>
      <c r="E36" s="20">
        <v>0.0</v>
      </c>
      <c r="F36" s="20">
        <v>3.0</v>
      </c>
      <c r="G36" s="22">
        <v>3.0</v>
      </c>
      <c r="H36" s="22">
        <v>5.0</v>
      </c>
      <c r="I36" s="22">
        <v>1.0</v>
      </c>
      <c r="J36" s="25">
        <v>1.0</v>
      </c>
      <c r="K36" s="15">
        <v>5.0</v>
      </c>
    </row>
    <row r="37" ht="22.5" customHeight="1">
      <c r="A37" s="13" t="s">
        <v>58</v>
      </c>
      <c r="B37" s="14">
        <f>C37/B49 * 100</f>
        <v>57.74647887</v>
      </c>
      <c r="C37" s="15">
        <f t="shared" si="1"/>
        <v>41</v>
      </c>
      <c r="D37" s="16" t="b">
        <v>0</v>
      </c>
      <c r="E37" s="28">
        <v>0.0</v>
      </c>
      <c r="F37" s="28">
        <v>3.0</v>
      </c>
      <c r="G37" s="28">
        <v>4.0</v>
      </c>
      <c r="H37" s="28">
        <v>5.0</v>
      </c>
      <c r="I37" s="29">
        <v>3.0</v>
      </c>
      <c r="J37" s="30">
        <v>2.0</v>
      </c>
      <c r="K37" s="15">
        <v>5.0</v>
      </c>
    </row>
    <row r="38" ht="22.5" customHeight="1">
      <c r="A38" s="2" t="s">
        <v>59</v>
      </c>
      <c r="B38" s="3">
        <f>MEDIAN(Tabela_4[Nota Final (%)])</f>
        <v>47.88732394</v>
      </c>
      <c r="C38" s="4">
        <f>MEDIAN(Tabela_4[Pontos Totais (max 71)])</f>
        <v>34</v>
      </c>
      <c r="D38" s="2"/>
      <c r="E38" s="3">
        <f>AVERAGE(Tabela_4[o texo é legivel?])</f>
        <v>0</v>
      </c>
      <c r="F38" s="4">
        <f>AVERAGE(Tabela_4[Resolução])</f>
        <v>3</v>
      </c>
      <c r="G38" s="3">
        <f>AVERAGE(Tabela_4[Qualidade Visual])</f>
        <v>3.361111111</v>
      </c>
      <c r="H38" s="3">
        <f>AVERAGE(Tabela_4[Enquadramento])</f>
        <v>3.805555556</v>
      </c>
      <c r="I38" s="3">
        <f>AVERAGE(Tabela_4[Alinhamento Prompt])</f>
        <v>1.916666667</v>
      </c>
      <c r="J38" s="4">
        <f>MEDIAN(Tabela_4[Alucinações])</f>
        <v>2</v>
      </c>
      <c r="K38" s="4">
        <f>AVERAGE(Tabela_4[Tamanho Prompt])</f>
        <v>5</v>
      </c>
    </row>
    <row r="40">
      <c r="J40" s="12" t="s">
        <v>63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16.88"/>
    <col customWidth="1" min="3" max="3" width="25.5"/>
    <col customWidth="1" min="4" max="4" width="17.13"/>
    <col customWidth="1" min="5" max="5" width="22.25"/>
    <col customWidth="1" min="6" max="6" width="17.0"/>
    <col customWidth="1" min="7" max="7" width="22.38"/>
    <col customWidth="1" min="8" max="8" width="21.88"/>
    <col customWidth="1" min="9" max="9" width="25.75"/>
    <col customWidth="1" min="10" max="10" width="16.13"/>
    <col customWidth="1" min="11" max="11" width="22.75"/>
    <col customWidth="1" min="12" max="23" width="13.88"/>
  </cols>
  <sheetData>
    <row r="1" ht="22.5" customHeight="1">
      <c r="A1" s="1" t="s">
        <v>21</v>
      </c>
      <c r="B1" s="1" t="s">
        <v>1</v>
      </c>
      <c r="C1" s="1" t="s">
        <v>2</v>
      </c>
      <c r="D1" s="1" t="s">
        <v>22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13" t="s">
        <v>23</v>
      </c>
      <c r="B2" s="14">
        <f>C2/B49 * 100</f>
        <v>70.42253521</v>
      </c>
      <c r="C2" s="15">
        <f>IF(D2, 1, 0) + (E2 * E49) + (F2 * F49) + (G2 * G49) + (H2 * H49) + (I2 * I49) + (J3 * J49) + (K2 * K49)</f>
        <v>50</v>
      </c>
      <c r="D2" s="16" t="b">
        <v>1</v>
      </c>
      <c r="E2" s="15">
        <v>1.0</v>
      </c>
      <c r="F2" s="15">
        <v>3.0</v>
      </c>
      <c r="G2" s="15">
        <v>4.0</v>
      </c>
      <c r="H2" s="15">
        <v>5.0</v>
      </c>
      <c r="I2" s="15">
        <v>4.0</v>
      </c>
      <c r="J2" s="23">
        <v>3.0</v>
      </c>
      <c r="K2" s="15">
        <v>5.0</v>
      </c>
    </row>
    <row r="3" ht="22.5" customHeight="1">
      <c r="A3" s="13" t="s">
        <v>24</v>
      </c>
      <c r="B3" s="14">
        <f>C3/B49 * 100</f>
        <v>73.23943662</v>
      </c>
      <c r="C3" s="15">
        <f t="shared" ref="C3:C37" si="1">IF(D3, 1, 0) + (E3 * E50) + (F3 * F50) + (G3 * G50) + (H3 * H50) + (I3 * I50) + (J3 * J50) + (K3 * K50)</f>
        <v>52</v>
      </c>
      <c r="D3" s="16" t="b">
        <v>1</v>
      </c>
      <c r="E3" s="15">
        <v>2.0</v>
      </c>
      <c r="F3" s="15">
        <v>3.0</v>
      </c>
      <c r="G3" s="15">
        <v>4.0</v>
      </c>
      <c r="H3" s="15">
        <v>5.0</v>
      </c>
      <c r="I3" s="15">
        <v>4.0</v>
      </c>
      <c r="J3" s="23">
        <v>3.0</v>
      </c>
      <c r="K3" s="15">
        <v>5.0</v>
      </c>
    </row>
    <row r="4" ht="22.5" customHeight="1">
      <c r="A4" s="13" t="s">
        <v>25</v>
      </c>
      <c r="B4" s="14">
        <f>C4/B49 * 100</f>
        <v>66.1971831</v>
      </c>
      <c r="C4" s="15">
        <f t="shared" si="1"/>
        <v>47</v>
      </c>
      <c r="D4" s="16" t="b">
        <v>0</v>
      </c>
      <c r="E4" s="22">
        <v>0.0</v>
      </c>
      <c r="F4" s="20">
        <v>3.0</v>
      </c>
      <c r="G4" s="20">
        <v>4.0</v>
      </c>
      <c r="H4" s="20">
        <v>5.0</v>
      </c>
      <c r="I4" s="20">
        <v>4.0</v>
      </c>
      <c r="J4" s="24">
        <v>3.0</v>
      </c>
      <c r="K4" s="21">
        <v>5.0</v>
      </c>
    </row>
    <row r="5" ht="22.5" customHeight="1">
      <c r="A5" s="13" t="s">
        <v>26</v>
      </c>
      <c r="B5" s="14">
        <f>C5/B49 * 100</f>
        <v>74.64788732</v>
      </c>
      <c r="C5" s="15">
        <f t="shared" si="1"/>
        <v>53</v>
      </c>
      <c r="D5" s="16" t="b">
        <v>0</v>
      </c>
      <c r="E5" s="22">
        <v>0.0</v>
      </c>
      <c r="F5" s="20">
        <v>3.0</v>
      </c>
      <c r="G5" s="20">
        <v>4.0</v>
      </c>
      <c r="H5" s="20">
        <v>5.0</v>
      </c>
      <c r="I5" s="22">
        <v>5.0</v>
      </c>
      <c r="J5" s="25">
        <v>4.0</v>
      </c>
      <c r="K5" s="21">
        <v>5.0</v>
      </c>
    </row>
    <row r="6" ht="22.5" customHeight="1">
      <c r="A6" s="13" t="s">
        <v>27</v>
      </c>
      <c r="B6" s="14">
        <f>C6/B49 * 100</f>
        <v>70.42253521</v>
      </c>
      <c r="C6" s="15">
        <f t="shared" si="1"/>
        <v>50</v>
      </c>
      <c r="D6" s="16" t="b">
        <v>0</v>
      </c>
      <c r="E6" s="22">
        <v>0.0</v>
      </c>
      <c r="F6" s="20">
        <v>3.0</v>
      </c>
      <c r="G6" s="20">
        <v>4.0</v>
      </c>
      <c r="H6" s="20">
        <v>5.0</v>
      </c>
      <c r="I6" s="22">
        <v>4.0</v>
      </c>
      <c r="J6" s="25">
        <v>4.0</v>
      </c>
      <c r="K6" s="21">
        <v>5.0</v>
      </c>
    </row>
    <row r="7" ht="22.5" customHeight="1">
      <c r="A7" s="13" t="s">
        <v>28</v>
      </c>
      <c r="B7" s="14">
        <f>C7/B49 * 100</f>
        <v>70.42253521</v>
      </c>
      <c r="C7" s="15">
        <f t="shared" si="1"/>
        <v>50</v>
      </c>
      <c r="D7" s="16" t="b">
        <v>0</v>
      </c>
      <c r="E7" s="22">
        <v>0.0</v>
      </c>
      <c r="F7" s="20">
        <v>3.0</v>
      </c>
      <c r="G7" s="20">
        <v>4.0</v>
      </c>
      <c r="H7" s="20">
        <v>5.0</v>
      </c>
      <c r="I7" s="22">
        <v>5.0</v>
      </c>
      <c r="J7" s="25">
        <v>3.0</v>
      </c>
      <c r="K7" s="21">
        <v>5.0</v>
      </c>
    </row>
    <row r="8" ht="22.5" customHeight="1">
      <c r="A8" s="31" t="s">
        <v>29</v>
      </c>
      <c r="B8" s="32">
        <f>C8/B49 * 100</f>
        <v>71.83098592</v>
      </c>
      <c r="C8" s="20">
        <f t="shared" si="1"/>
        <v>51</v>
      </c>
      <c r="D8" s="33" t="b">
        <v>0</v>
      </c>
      <c r="E8" s="26">
        <v>0.0</v>
      </c>
      <c r="F8" s="26">
        <v>3.0</v>
      </c>
      <c r="G8" s="26">
        <v>5.0</v>
      </c>
      <c r="H8" s="26">
        <v>4.0</v>
      </c>
      <c r="I8" s="26">
        <v>5.0</v>
      </c>
      <c r="J8" s="24">
        <v>3.0</v>
      </c>
      <c r="K8" s="34">
        <v>5.0</v>
      </c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ht="22.5" customHeight="1">
      <c r="A9" s="13" t="s">
        <v>30</v>
      </c>
      <c r="B9" s="14">
        <f>C9/B49 * 100</f>
        <v>61.97183099</v>
      </c>
      <c r="C9" s="15">
        <f t="shared" si="1"/>
        <v>44</v>
      </c>
      <c r="D9" s="16" t="b">
        <v>0</v>
      </c>
      <c r="E9" s="22">
        <v>0.0</v>
      </c>
      <c r="F9" s="20">
        <v>3.0</v>
      </c>
      <c r="G9" s="20">
        <v>4.0</v>
      </c>
      <c r="H9" s="20">
        <v>5.0</v>
      </c>
      <c r="I9" s="22">
        <v>4.0</v>
      </c>
      <c r="J9" s="25">
        <v>2.0</v>
      </c>
      <c r="K9" s="15">
        <v>5.0</v>
      </c>
    </row>
    <row r="10" ht="22.5" customHeight="1">
      <c r="A10" s="13" t="s">
        <v>31</v>
      </c>
      <c r="B10" s="14">
        <f>C10/B49 * 100</f>
        <v>61.97183099</v>
      </c>
      <c r="C10" s="15">
        <f t="shared" si="1"/>
        <v>44</v>
      </c>
      <c r="D10" s="16" t="b">
        <v>0</v>
      </c>
      <c r="E10" s="22">
        <v>0.0</v>
      </c>
      <c r="F10" s="20">
        <v>3.0</v>
      </c>
      <c r="G10" s="20">
        <v>4.0</v>
      </c>
      <c r="H10" s="20">
        <v>5.0</v>
      </c>
      <c r="I10" s="22">
        <v>4.0</v>
      </c>
      <c r="J10" s="25">
        <v>2.0</v>
      </c>
      <c r="K10" s="15">
        <v>5.0</v>
      </c>
    </row>
    <row r="11" ht="22.5" customHeight="1">
      <c r="A11" s="13" t="s">
        <v>32</v>
      </c>
      <c r="B11" s="14">
        <f>C11/B49 * 100</f>
        <v>73.23943662</v>
      </c>
      <c r="C11" s="15">
        <f t="shared" si="1"/>
        <v>52</v>
      </c>
      <c r="D11" s="16" t="b">
        <v>0</v>
      </c>
      <c r="E11" s="22">
        <v>0.0</v>
      </c>
      <c r="F11" s="20">
        <v>3.0</v>
      </c>
      <c r="G11" s="22">
        <v>5.0</v>
      </c>
      <c r="H11" s="20">
        <v>5.0</v>
      </c>
      <c r="I11" s="22">
        <v>4.0</v>
      </c>
      <c r="J11" s="25">
        <v>4.0</v>
      </c>
      <c r="K11" s="15">
        <v>5.0</v>
      </c>
    </row>
    <row r="12" ht="22.5" customHeight="1">
      <c r="A12" s="13" t="s">
        <v>33</v>
      </c>
      <c r="B12" s="14">
        <f>C12/B49 * 100</f>
        <v>60.56338028</v>
      </c>
      <c r="C12" s="15">
        <f t="shared" si="1"/>
        <v>43</v>
      </c>
      <c r="D12" s="16" t="b">
        <v>0</v>
      </c>
      <c r="E12" s="22">
        <v>0.0</v>
      </c>
      <c r="F12" s="20">
        <v>3.0</v>
      </c>
      <c r="G12" s="22">
        <v>5.0</v>
      </c>
      <c r="H12" s="20">
        <v>5.0</v>
      </c>
      <c r="I12" s="22">
        <v>2.0</v>
      </c>
      <c r="J12" s="25">
        <v>3.0</v>
      </c>
      <c r="K12" s="15">
        <v>5.0</v>
      </c>
    </row>
    <row r="13" ht="22.5" customHeight="1">
      <c r="A13" s="13" t="s">
        <v>34</v>
      </c>
      <c r="B13" s="14">
        <f>C13/B49 * 100</f>
        <v>73.23943662</v>
      </c>
      <c r="C13" s="15">
        <f t="shared" si="1"/>
        <v>52</v>
      </c>
      <c r="D13" s="16" t="b">
        <v>0</v>
      </c>
      <c r="E13" s="22">
        <v>0.0</v>
      </c>
      <c r="F13" s="20">
        <v>3.0</v>
      </c>
      <c r="G13" s="22">
        <v>5.0</v>
      </c>
      <c r="H13" s="20">
        <v>5.0</v>
      </c>
      <c r="I13" s="22">
        <v>4.0</v>
      </c>
      <c r="J13" s="25">
        <v>4.0</v>
      </c>
      <c r="K13" s="15">
        <v>5.0</v>
      </c>
    </row>
    <row r="14" ht="22.5" customHeight="1">
      <c r="A14" s="13" t="s">
        <v>35</v>
      </c>
      <c r="B14" s="14">
        <f>C14/B49 * 100</f>
        <v>61.97183099</v>
      </c>
      <c r="C14" s="15">
        <f t="shared" si="1"/>
        <v>44</v>
      </c>
      <c r="D14" s="16" t="b">
        <v>0</v>
      </c>
      <c r="E14" s="22">
        <v>0.0</v>
      </c>
      <c r="F14" s="20">
        <v>3.0</v>
      </c>
      <c r="G14" s="22">
        <v>4.0</v>
      </c>
      <c r="H14" s="20">
        <v>5.0</v>
      </c>
      <c r="I14" s="22">
        <v>3.0</v>
      </c>
      <c r="J14" s="25">
        <v>3.0</v>
      </c>
      <c r="K14" s="15">
        <v>5.0</v>
      </c>
    </row>
    <row r="15" ht="22.5" customHeight="1">
      <c r="A15" s="13" t="s">
        <v>36</v>
      </c>
      <c r="B15" s="14">
        <f>C15/B49 * 100</f>
        <v>73.23943662</v>
      </c>
      <c r="C15" s="15">
        <f t="shared" si="1"/>
        <v>52</v>
      </c>
      <c r="D15" s="16" t="b">
        <v>0</v>
      </c>
      <c r="E15" s="22">
        <v>0.0</v>
      </c>
      <c r="F15" s="20">
        <v>3.0</v>
      </c>
      <c r="G15" s="22">
        <v>5.0</v>
      </c>
      <c r="H15" s="20">
        <v>5.0</v>
      </c>
      <c r="I15" s="22">
        <v>4.0</v>
      </c>
      <c r="J15" s="25">
        <v>4.0</v>
      </c>
      <c r="K15" s="15">
        <v>5.0</v>
      </c>
    </row>
    <row r="16" ht="22.5" customHeight="1">
      <c r="A16" s="13" t="s">
        <v>37</v>
      </c>
      <c r="B16" s="14">
        <f>C16/B49 * 100</f>
        <v>69.01408451</v>
      </c>
      <c r="C16" s="15">
        <f t="shared" si="1"/>
        <v>49</v>
      </c>
      <c r="D16" s="16" t="b">
        <v>0</v>
      </c>
      <c r="E16" s="22">
        <v>0.0</v>
      </c>
      <c r="F16" s="20">
        <v>3.0</v>
      </c>
      <c r="G16" s="22">
        <v>5.0</v>
      </c>
      <c r="H16" s="20">
        <v>5.0</v>
      </c>
      <c r="I16" s="22">
        <v>3.0</v>
      </c>
      <c r="J16" s="25">
        <v>4.0</v>
      </c>
      <c r="K16" s="15">
        <v>5.0</v>
      </c>
    </row>
    <row r="17" ht="22.5" customHeight="1">
      <c r="A17" s="13" t="s">
        <v>38</v>
      </c>
      <c r="B17" s="14">
        <f>C17/B49 * 100</f>
        <v>73.23943662</v>
      </c>
      <c r="C17" s="15">
        <f t="shared" si="1"/>
        <v>52</v>
      </c>
      <c r="D17" s="16" t="b">
        <v>0</v>
      </c>
      <c r="E17" s="22">
        <v>0.0</v>
      </c>
      <c r="F17" s="20">
        <v>3.0</v>
      </c>
      <c r="G17" s="22">
        <v>5.0</v>
      </c>
      <c r="H17" s="20">
        <v>5.0</v>
      </c>
      <c r="I17" s="22">
        <v>4.0</v>
      </c>
      <c r="J17" s="25">
        <v>4.0</v>
      </c>
      <c r="K17" s="15">
        <v>5.0</v>
      </c>
    </row>
    <row r="18" ht="22.5" customHeight="1">
      <c r="A18" s="13" t="s">
        <v>39</v>
      </c>
      <c r="B18" s="14">
        <f>C18/B49 * 100</f>
        <v>69.01408451</v>
      </c>
      <c r="C18" s="15">
        <f t="shared" si="1"/>
        <v>49</v>
      </c>
      <c r="D18" s="16" t="b">
        <v>0</v>
      </c>
      <c r="E18" s="22">
        <v>0.0</v>
      </c>
      <c r="F18" s="20">
        <v>3.0</v>
      </c>
      <c r="G18" s="22">
        <v>5.0</v>
      </c>
      <c r="H18" s="20">
        <v>5.0</v>
      </c>
      <c r="I18" s="22">
        <v>4.0</v>
      </c>
      <c r="J18" s="25">
        <v>3.0</v>
      </c>
      <c r="K18" s="15">
        <v>5.0</v>
      </c>
    </row>
    <row r="19" ht="22.5" customHeight="1">
      <c r="A19" s="13" t="s">
        <v>40</v>
      </c>
      <c r="B19" s="14">
        <f>C19/B49 * 100</f>
        <v>69.01408451</v>
      </c>
      <c r="C19" s="15">
        <f t="shared" si="1"/>
        <v>49</v>
      </c>
      <c r="D19" s="16" t="b">
        <v>0</v>
      </c>
      <c r="E19" s="22">
        <v>0.0</v>
      </c>
      <c r="F19" s="20">
        <v>3.0</v>
      </c>
      <c r="G19" s="22">
        <v>5.0</v>
      </c>
      <c r="H19" s="20">
        <v>5.0</v>
      </c>
      <c r="I19" s="22">
        <v>4.0</v>
      </c>
      <c r="J19" s="25">
        <v>3.0</v>
      </c>
      <c r="K19" s="15">
        <v>5.0</v>
      </c>
    </row>
    <row r="20" ht="22.5" customHeight="1">
      <c r="A20" s="13" t="s">
        <v>41</v>
      </c>
      <c r="B20" s="14">
        <f>C20/B49 * 100</f>
        <v>73.23943662</v>
      </c>
      <c r="C20" s="15">
        <f t="shared" si="1"/>
        <v>52</v>
      </c>
      <c r="D20" s="16" t="b">
        <v>0</v>
      </c>
      <c r="E20" s="22">
        <v>0.0</v>
      </c>
      <c r="F20" s="20">
        <v>3.0</v>
      </c>
      <c r="G20" s="22">
        <v>5.0</v>
      </c>
      <c r="H20" s="20">
        <v>5.0</v>
      </c>
      <c r="I20" s="22">
        <v>4.0</v>
      </c>
      <c r="J20" s="25">
        <v>4.0</v>
      </c>
      <c r="K20" s="15">
        <v>5.0</v>
      </c>
    </row>
    <row r="21" ht="22.5" customHeight="1">
      <c r="A21" s="13" t="s">
        <v>42</v>
      </c>
      <c r="B21" s="14">
        <f>C21/B49 * 100</f>
        <v>60.56338028</v>
      </c>
      <c r="C21" s="15">
        <f t="shared" si="1"/>
        <v>43</v>
      </c>
      <c r="D21" s="16" t="b">
        <v>0</v>
      </c>
      <c r="E21" s="22">
        <v>0.0</v>
      </c>
      <c r="F21" s="20">
        <v>3.0</v>
      </c>
      <c r="G21" s="22">
        <v>5.0</v>
      </c>
      <c r="H21" s="20">
        <v>5.0</v>
      </c>
      <c r="I21" s="22">
        <v>4.0</v>
      </c>
      <c r="J21" s="25">
        <v>1.0</v>
      </c>
      <c r="K21" s="15">
        <v>5.0</v>
      </c>
    </row>
    <row r="22" ht="22.5" customHeight="1">
      <c r="A22" s="13" t="s">
        <v>43</v>
      </c>
      <c r="B22" s="14">
        <f>C22/B49 * 100</f>
        <v>56.33802817</v>
      </c>
      <c r="C22" s="15">
        <f t="shared" si="1"/>
        <v>40</v>
      </c>
      <c r="D22" s="16" t="b">
        <v>0</v>
      </c>
      <c r="E22" s="22">
        <v>0.0</v>
      </c>
      <c r="F22" s="20">
        <v>3.0</v>
      </c>
      <c r="G22" s="22">
        <v>5.0</v>
      </c>
      <c r="H22" s="20">
        <v>5.0</v>
      </c>
      <c r="I22" s="22">
        <v>3.0</v>
      </c>
      <c r="J22" s="25">
        <v>1.0</v>
      </c>
      <c r="K22" s="15">
        <v>5.0</v>
      </c>
    </row>
    <row r="23" ht="22.5" customHeight="1">
      <c r="A23" s="13" t="s">
        <v>44</v>
      </c>
      <c r="B23" s="14">
        <f>C23/B49 * 100</f>
        <v>61.97183099</v>
      </c>
      <c r="C23" s="15">
        <f t="shared" si="1"/>
        <v>44</v>
      </c>
      <c r="D23" s="16" t="b">
        <v>0</v>
      </c>
      <c r="E23" s="22">
        <v>0.0</v>
      </c>
      <c r="F23" s="20">
        <v>3.0</v>
      </c>
      <c r="G23" s="22">
        <v>4.0</v>
      </c>
      <c r="H23" s="20">
        <v>5.0</v>
      </c>
      <c r="I23" s="22">
        <v>4.0</v>
      </c>
      <c r="J23" s="25">
        <v>2.0</v>
      </c>
      <c r="K23" s="15">
        <v>5.0</v>
      </c>
    </row>
    <row r="24" ht="22.5" customHeight="1">
      <c r="A24" s="13" t="s">
        <v>45</v>
      </c>
      <c r="B24" s="14">
        <f>C24/B49 * 100</f>
        <v>57.74647887</v>
      </c>
      <c r="C24" s="15">
        <f t="shared" si="1"/>
        <v>41</v>
      </c>
      <c r="D24" s="16" t="b">
        <v>0</v>
      </c>
      <c r="E24" s="22">
        <v>0.0</v>
      </c>
      <c r="F24" s="20">
        <v>3.0</v>
      </c>
      <c r="G24" s="22">
        <v>4.0</v>
      </c>
      <c r="H24" s="20">
        <v>5.0</v>
      </c>
      <c r="I24" s="22">
        <v>4.0</v>
      </c>
      <c r="J24" s="25">
        <v>1.0</v>
      </c>
      <c r="K24" s="15">
        <v>5.0</v>
      </c>
    </row>
    <row r="25" ht="22.5" customHeight="1">
      <c r="A25" s="13" t="s">
        <v>46</v>
      </c>
      <c r="B25" s="14">
        <f>C25/B49 * 100</f>
        <v>57.74647887</v>
      </c>
      <c r="C25" s="15">
        <f t="shared" si="1"/>
        <v>41</v>
      </c>
      <c r="D25" s="16" t="b">
        <v>0</v>
      </c>
      <c r="E25" s="22">
        <v>0.0</v>
      </c>
      <c r="F25" s="20">
        <v>3.0</v>
      </c>
      <c r="G25" s="22">
        <v>5.0</v>
      </c>
      <c r="H25" s="22">
        <v>3.0</v>
      </c>
      <c r="I25" s="22">
        <v>3.0</v>
      </c>
      <c r="J25" s="25">
        <v>2.0</v>
      </c>
      <c r="K25" s="15">
        <v>5.0</v>
      </c>
    </row>
    <row r="26" ht="22.5" customHeight="1">
      <c r="A26" s="13" t="s">
        <v>47</v>
      </c>
      <c r="B26" s="14">
        <f>C26/B49 * 100</f>
        <v>60.56338028</v>
      </c>
      <c r="C26" s="15">
        <f t="shared" si="1"/>
        <v>43</v>
      </c>
      <c r="D26" s="16" t="b">
        <v>1</v>
      </c>
      <c r="E26" s="22">
        <v>1.0</v>
      </c>
      <c r="F26" s="20">
        <v>3.0</v>
      </c>
      <c r="G26" s="22">
        <v>3.0</v>
      </c>
      <c r="H26" s="22">
        <v>3.0</v>
      </c>
      <c r="I26" s="22">
        <v>4.0</v>
      </c>
      <c r="J26" s="25">
        <v>2.0</v>
      </c>
      <c r="K26" s="15">
        <v>5.0</v>
      </c>
    </row>
    <row r="27" ht="22.5" customHeight="1">
      <c r="A27" s="13" t="s">
        <v>48</v>
      </c>
      <c r="B27" s="14">
        <f>C27/B49 * 100</f>
        <v>63.38028169</v>
      </c>
      <c r="C27" s="15">
        <f t="shared" si="1"/>
        <v>45</v>
      </c>
      <c r="D27" s="16" t="b">
        <v>1</v>
      </c>
      <c r="E27" s="22">
        <v>1.0</v>
      </c>
      <c r="F27" s="20">
        <v>3.0</v>
      </c>
      <c r="G27" s="22">
        <v>3.0</v>
      </c>
      <c r="H27" s="22">
        <v>5.0</v>
      </c>
      <c r="I27" s="22">
        <v>4.0</v>
      </c>
      <c r="J27" s="25">
        <v>2.0</v>
      </c>
      <c r="K27" s="15">
        <v>5.0</v>
      </c>
    </row>
    <row r="28" ht="22.5" customHeight="1">
      <c r="A28" s="13" t="s">
        <v>49</v>
      </c>
      <c r="B28" s="14">
        <f>C28/B49 * 100</f>
        <v>56.33802817</v>
      </c>
      <c r="C28" s="15">
        <f t="shared" si="1"/>
        <v>40</v>
      </c>
      <c r="D28" s="16" t="b">
        <v>1</v>
      </c>
      <c r="E28" s="22">
        <v>1.0</v>
      </c>
      <c r="F28" s="20">
        <v>3.0</v>
      </c>
      <c r="G28" s="22">
        <v>3.0</v>
      </c>
      <c r="H28" s="22">
        <v>3.0</v>
      </c>
      <c r="I28" s="22">
        <v>3.0</v>
      </c>
      <c r="J28" s="25">
        <v>2.0</v>
      </c>
      <c r="K28" s="15">
        <v>5.0</v>
      </c>
    </row>
    <row r="29" ht="22.5" customHeight="1">
      <c r="A29" s="13" t="s">
        <v>50</v>
      </c>
      <c r="B29" s="14">
        <f>C29/B49 * 100</f>
        <v>45.07042254</v>
      </c>
      <c r="C29" s="15">
        <f t="shared" si="1"/>
        <v>32</v>
      </c>
      <c r="D29" s="16" t="b">
        <v>0</v>
      </c>
      <c r="E29" s="22">
        <v>0.0</v>
      </c>
      <c r="F29" s="20">
        <v>3.0</v>
      </c>
      <c r="G29" s="22">
        <v>3.0</v>
      </c>
      <c r="H29" s="22">
        <v>4.0</v>
      </c>
      <c r="I29" s="22">
        <v>2.0</v>
      </c>
      <c r="J29" s="25">
        <v>1.0</v>
      </c>
      <c r="K29" s="15">
        <v>5.0</v>
      </c>
    </row>
    <row r="30" ht="22.5" customHeight="1">
      <c r="A30" s="13" t="s">
        <v>51</v>
      </c>
      <c r="B30" s="14">
        <f>C30/B49 * 100</f>
        <v>60.56338028</v>
      </c>
      <c r="C30" s="15">
        <f t="shared" si="1"/>
        <v>43</v>
      </c>
      <c r="D30" s="16" t="b">
        <v>0</v>
      </c>
      <c r="E30" s="22">
        <v>0.0</v>
      </c>
      <c r="F30" s="20">
        <v>3.0</v>
      </c>
      <c r="G30" s="22">
        <v>4.0</v>
      </c>
      <c r="H30" s="22">
        <v>4.0</v>
      </c>
      <c r="I30" s="22">
        <v>2.0</v>
      </c>
      <c r="J30" s="25">
        <v>4.0</v>
      </c>
      <c r="K30" s="15">
        <v>5.0</v>
      </c>
    </row>
    <row r="31" ht="22.5" customHeight="1">
      <c r="A31" s="13" t="s">
        <v>52</v>
      </c>
      <c r="B31" s="14">
        <f>C31/B49 * 100</f>
        <v>60.56338028</v>
      </c>
      <c r="C31" s="15">
        <f t="shared" si="1"/>
        <v>43</v>
      </c>
      <c r="D31" s="16" t="b">
        <v>0</v>
      </c>
      <c r="E31" s="22">
        <v>0.0</v>
      </c>
      <c r="F31" s="20">
        <v>3.0</v>
      </c>
      <c r="G31" s="22">
        <v>5.0</v>
      </c>
      <c r="H31" s="22">
        <v>5.0</v>
      </c>
      <c r="I31" s="22">
        <v>3.0</v>
      </c>
      <c r="J31" s="25">
        <v>2.0</v>
      </c>
      <c r="K31" s="15">
        <v>5.0</v>
      </c>
    </row>
    <row r="32" ht="22.5" customHeight="1">
      <c r="A32" s="13" t="s">
        <v>53</v>
      </c>
      <c r="B32" s="14">
        <f>C32/B49 * 100</f>
        <v>64.78873239</v>
      </c>
      <c r="C32" s="15">
        <f t="shared" si="1"/>
        <v>46</v>
      </c>
      <c r="D32" s="16" t="b">
        <v>1</v>
      </c>
      <c r="E32" s="27">
        <v>2.0</v>
      </c>
      <c r="F32" s="20">
        <v>3.0</v>
      </c>
      <c r="G32" s="22">
        <v>4.0</v>
      </c>
      <c r="H32" s="22">
        <v>5.0</v>
      </c>
      <c r="I32" s="22">
        <v>3.0</v>
      </c>
      <c r="J32" s="25">
        <v>2.0</v>
      </c>
      <c r="K32" s="15">
        <v>5.0</v>
      </c>
    </row>
    <row r="33" ht="22.5" customHeight="1">
      <c r="A33" s="13" t="s">
        <v>54</v>
      </c>
      <c r="B33" s="14">
        <f>C33/B49 * 100</f>
        <v>64.78873239</v>
      </c>
      <c r="C33" s="15">
        <f t="shared" si="1"/>
        <v>46</v>
      </c>
      <c r="D33" s="16" t="b">
        <v>1</v>
      </c>
      <c r="E33" s="27">
        <v>1.0</v>
      </c>
      <c r="F33" s="20">
        <v>3.0</v>
      </c>
      <c r="G33" s="22">
        <v>5.0</v>
      </c>
      <c r="H33" s="22">
        <v>5.0</v>
      </c>
      <c r="I33" s="22">
        <v>3.0</v>
      </c>
      <c r="J33" s="25">
        <v>2.0</v>
      </c>
      <c r="K33" s="15">
        <v>5.0</v>
      </c>
    </row>
    <row r="34" ht="22.5" customHeight="1">
      <c r="A34" s="13" t="s">
        <v>55</v>
      </c>
      <c r="B34" s="14">
        <f>C34/B49 * 100</f>
        <v>57.74647887</v>
      </c>
      <c r="C34" s="15">
        <f t="shared" si="1"/>
        <v>41</v>
      </c>
      <c r="D34" s="16" t="b">
        <v>1</v>
      </c>
      <c r="E34" s="27">
        <v>1.0</v>
      </c>
      <c r="F34" s="26">
        <v>3.0</v>
      </c>
      <c r="G34" s="27">
        <v>4.0</v>
      </c>
      <c r="H34" s="26">
        <v>5.0</v>
      </c>
      <c r="I34" s="26">
        <v>3.0</v>
      </c>
      <c r="J34" s="25">
        <v>1.0</v>
      </c>
      <c r="K34" s="15">
        <v>5.0</v>
      </c>
    </row>
    <row r="35" ht="22.5" customHeight="1">
      <c r="A35" s="13" t="s">
        <v>56</v>
      </c>
      <c r="B35" s="14">
        <f>C35/B49 * 100</f>
        <v>66.1971831</v>
      </c>
      <c r="C35" s="15">
        <f t="shared" si="1"/>
        <v>47</v>
      </c>
      <c r="D35" s="16" t="b">
        <v>1</v>
      </c>
      <c r="E35" s="27">
        <v>1.0</v>
      </c>
      <c r="F35" s="27">
        <v>3.0</v>
      </c>
      <c r="G35" s="27">
        <v>4.0</v>
      </c>
      <c r="H35" s="27">
        <v>5.0</v>
      </c>
      <c r="I35" s="27">
        <v>3.0</v>
      </c>
      <c r="J35" s="25">
        <v>3.0</v>
      </c>
      <c r="K35" s="15">
        <v>5.0</v>
      </c>
    </row>
    <row r="36" ht="22.5" customHeight="1">
      <c r="A36" s="13" t="s">
        <v>57</v>
      </c>
      <c r="B36" s="14">
        <f>C36/B49 * 100</f>
        <v>73.23943662</v>
      </c>
      <c r="C36" s="15">
        <f t="shared" si="1"/>
        <v>52</v>
      </c>
      <c r="D36" s="16" t="b">
        <v>1</v>
      </c>
      <c r="E36" s="27">
        <v>1.0</v>
      </c>
      <c r="F36" s="27">
        <v>3.0</v>
      </c>
      <c r="G36" s="27">
        <v>5.0</v>
      </c>
      <c r="H36" s="27">
        <v>5.0</v>
      </c>
      <c r="I36" s="27">
        <v>4.0</v>
      </c>
      <c r="J36" s="25">
        <v>3.0</v>
      </c>
      <c r="K36" s="15">
        <v>5.0</v>
      </c>
    </row>
    <row r="37" ht="22.5" customHeight="1">
      <c r="A37" s="13" t="s">
        <v>58</v>
      </c>
      <c r="B37" s="14">
        <f>C37/B49 * 100</f>
        <v>70.42253521</v>
      </c>
      <c r="C37" s="15">
        <f t="shared" si="1"/>
        <v>50</v>
      </c>
      <c r="D37" s="16" t="b">
        <v>1</v>
      </c>
      <c r="E37" s="27">
        <v>1.0</v>
      </c>
      <c r="F37" s="27">
        <v>3.0</v>
      </c>
      <c r="G37" s="27">
        <v>4.0</v>
      </c>
      <c r="H37" s="27">
        <v>5.0</v>
      </c>
      <c r="I37" s="27">
        <v>4.0</v>
      </c>
      <c r="J37" s="25">
        <v>3.0</v>
      </c>
      <c r="K37" s="15">
        <v>5.0</v>
      </c>
    </row>
    <row r="38" ht="22.5" customHeight="1">
      <c r="A38" s="2" t="s">
        <v>59</v>
      </c>
      <c r="B38" s="3">
        <f>MEDIAN(Tabela_5[Nota Final (%)])</f>
        <v>65.49295775</v>
      </c>
      <c r="C38" s="4">
        <f>MEDIAN(Tabela_5[Pontos Totais (max 71)])</f>
        <v>46.5</v>
      </c>
      <c r="D38" s="2"/>
      <c r="E38" s="3">
        <f>AVERAGE(Tabela_5[o texo é legivel?])</f>
        <v>0.3611111111</v>
      </c>
      <c r="F38" s="4">
        <f>AVERAGE(Tabela_5[Resolução])</f>
        <v>3</v>
      </c>
      <c r="G38" s="3">
        <f>AVERAGE(Tabela_5[Qualidade Visual])</f>
        <v>4.333333333</v>
      </c>
      <c r="H38" s="3">
        <f>AVERAGE(Tabela_5[Enquadramento])</f>
        <v>4.75</v>
      </c>
      <c r="I38" s="3">
        <f>AVERAGE(Tabela_5[Alinhamento Prompt])</f>
        <v>3.638888889</v>
      </c>
      <c r="J38" s="4">
        <f>MEDIAN(Tabela_5[Alucinações])</f>
        <v>3</v>
      </c>
      <c r="K38" s="4">
        <f>AVERAGE(Tabela_5[Tamanho Prompt])</f>
        <v>5</v>
      </c>
    </row>
    <row r="40">
      <c r="J40" s="12" t="s">
        <v>63</v>
      </c>
    </row>
    <row r="49">
      <c r="A49" s="17" t="s">
        <v>61</v>
      </c>
      <c r="B49" s="18">
        <f> 1 + (5 * E49) + (5 * F49) + (5 * G49) + (5 * H49) + (5 * I49) + (5* J49) + (5* K49)</f>
        <v>71</v>
      </c>
      <c r="C49" s="17" t="s">
        <v>62</v>
      </c>
      <c r="D49" s="19">
        <v>1.0</v>
      </c>
      <c r="E49" s="19">
        <v>2.0</v>
      </c>
      <c r="F49" s="19">
        <v>1.0</v>
      </c>
      <c r="G49" s="19">
        <v>2.0</v>
      </c>
      <c r="H49" s="19">
        <v>1.0</v>
      </c>
      <c r="I49" s="19">
        <v>3.0</v>
      </c>
      <c r="J49" s="19">
        <v>3.0</v>
      </c>
      <c r="K49" s="19">
        <v>2.0</v>
      </c>
    </row>
    <row r="50">
      <c r="D50" s="19">
        <v>1.0</v>
      </c>
      <c r="E50" s="19">
        <v>2.0</v>
      </c>
      <c r="F50" s="19">
        <v>1.0</v>
      </c>
      <c r="G50" s="19">
        <v>2.0</v>
      </c>
      <c r="H50" s="19">
        <v>1.0</v>
      </c>
      <c r="I50" s="19">
        <v>3.0</v>
      </c>
      <c r="J50" s="19">
        <v>3.0</v>
      </c>
      <c r="K50" s="19">
        <v>2.0</v>
      </c>
    </row>
    <row r="51">
      <c r="D51" s="19">
        <v>1.0</v>
      </c>
      <c r="E51" s="19">
        <v>2.0</v>
      </c>
      <c r="F51" s="19">
        <v>1.0</v>
      </c>
      <c r="G51" s="19">
        <v>2.0</v>
      </c>
      <c r="H51" s="19">
        <v>1.0</v>
      </c>
      <c r="I51" s="19">
        <v>3.0</v>
      </c>
      <c r="J51" s="19">
        <v>3.0</v>
      </c>
      <c r="K51" s="19">
        <v>2.0</v>
      </c>
    </row>
    <row r="52">
      <c r="D52" s="19">
        <v>1.0</v>
      </c>
      <c r="E52" s="19">
        <v>2.0</v>
      </c>
      <c r="F52" s="19">
        <v>1.0</v>
      </c>
      <c r="G52" s="19">
        <v>2.0</v>
      </c>
      <c r="H52" s="19">
        <v>1.0</v>
      </c>
      <c r="I52" s="19">
        <v>3.0</v>
      </c>
      <c r="J52" s="19">
        <v>3.0</v>
      </c>
      <c r="K52" s="19">
        <v>2.0</v>
      </c>
    </row>
    <row r="53">
      <c r="D53" s="19">
        <v>1.0</v>
      </c>
      <c r="E53" s="19">
        <v>2.0</v>
      </c>
      <c r="F53" s="19">
        <v>1.0</v>
      </c>
      <c r="G53" s="19">
        <v>2.0</v>
      </c>
      <c r="H53" s="19">
        <v>1.0</v>
      </c>
      <c r="I53" s="19">
        <v>3.0</v>
      </c>
      <c r="J53" s="19">
        <v>3.0</v>
      </c>
      <c r="K53" s="19">
        <v>2.0</v>
      </c>
    </row>
    <row r="54">
      <c r="D54" s="19">
        <v>1.0</v>
      </c>
      <c r="E54" s="19">
        <v>2.0</v>
      </c>
      <c r="F54" s="19">
        <v>1.0</v>
      </c>
      <c r="G54" s="19">
        <v>2.0</v>
      </c>
      <c r="H54" s="19">
        <v>1.0</v>
      </c>
      <c r="I54" s="19">
        <v>3.0</v>
      </c>
      <c r="J54" s="19">
        <v>3.0</v>
      </c>
      <c r="K54" s="19">
        <v>2.0</v>
      </c>
    </row>
    <row r="55">
      <c r="D55" s="19">
        <v>1.0</v>
      </c>
      <c r="E55" s="19">
        <v>2.0</v>
      </c>
      <c r="F55" s="19">
        <v>1.0</v>
      </c>
      <c r="G55" s="19">
        <v>2.0</v>
      </c>
      <c r="H55" s="19">
        <v>1.0</v>
      </c>
      <c r="I55" s="19">
        <v>3.0</v>
      </c>
      <c r="J55" s="19">
        <v>3.0</v>
      </c>
      <c r="K55" s="19">
        <v>2.0</v>
      </c>
    </row>
    <row r="56">
      <c r="D56" s="19">
        <v>1.0</v>
      </c>
      <c r="E56" s="19">
        <v>2.0</v>
      </c>
      <c r="F56" s="19">
        <v>1.0</v>
      </c>
      <c r="G56" s="19">
        <v>2.0</v>
      </c>
      <c r="H56" s="19">
        <v>1.0</v>
      </c>
      <c r="I56" s="19">
        <v>3.0</v>
      </c>
      <c r="J56" s="19">
        <v>3.0</v>
      </c>
      <c r="K56" s="19">
        <v>2.0</v>
      </c>
    </row>
    <row r="57">
      <c r="D57" s="19">
        <v>1.0</v>
      </c>
      <c r="E57" s="19">
        <v>2.0</v>
      </c>
      <c r="F57" s="19">
        <v>1.0</v>
      </c>
      <c r="G57" s="19">
        <v>2.0</v>
      </c>
      <c r="H57" s="19">
        <v>1.0</v>
      </c>
      <c r="I57" s="19">
        <v>3.0</v>
      </c>
      <c r="J57" s="19">
        <v>3.0</v>
      </c>
      <c r="K57" s="19">
        <v>2.0</v>
      </c>
    </row>
    <row r="58">
      <c r="D58" s="19">
        <v>1.0</v>
      </c>
      <c r="E58" s="19">
        <v>2.0</v>
      </c>
      <c r="F58" s="19">
        <v>1.0</v>
      </c>
      <c r="G58" s="19">
        <v>2.0</v>
      </c>
      <c r="H58" s="19">
        <v>1.0</v>
      </c>
      <c r="I58" s="19">
        <v>3.0</v>
      </c>
      <c r="J58" s="19">
        <v>3.0</v>
      </c>
      <c r="K58" s="19">
        <v>2.0</v>
      </c>
    </row>
    <row r="59">
      <c r="D59" s="19">
        <v>1.0</v>
      </c>
      <c r="E59" s="19">
        <v>2.0</v>
      </c>
      <c r="F59" s="19">
        <v>1.0</v>
      </c>
      <c r="G59" s="19">
        <v>2.0</v>
      </c>
      <c r="H59" s="19">
        <v>1.0</v>
      </c>
      <c r="I59" s="19">
        <v>3.0</v>
      </c>
      <c r="J59" s="19">
        <v>3.0</v>
      </c>
      <c r="K59" s="19">
        <v>2.0</v>
      </c>
    </row>
    <row r="60">
      <c r="D60" s="19">
        <v>1.0</v>
      </c>
      <c r="E60" s="19">
        <v>2.0</v>
      </c>
      <c r="F60" s="19">
        <v>1.0</v>
      </c>
      <c r="G60" s="19">
        <v>2.0</v>
      </c>
      <c r="H60" s="19">
        <v>1.0</v>
      </c>
      <c r="I60" s="19">
        <v>3.0</v>
      </c>
      <c r="J60" s="19">
        <v>3.0</v>
      </c>
      <c r="K60" s="19">
        <v>2.0</v>
      </c>
    </row>
    <row r="61">
      <c r="D61" s="19">
        <v>1.0</v>
      </c>
      <c r="E61" s="19">
        <v>2.0</v>
      </c>
      <c r="F61" s="19">
        <v>1.0</v>
      </c>
      <c r="G61" s="19">
        <v>2.0</v>
      </c>
      <c r="H61" s="19">
        <v>1.0</v>
      </c>
      <c r="I61" s="19">
        <v>3.0</v>
      </c>
      <c r="J61" s="19">
        <v>3.0</v>
      </c>
      <c r="K61" s="19">
        <v>2.0</v>
      </c>
    </row>
    <row r="62">
      <c r="D62" s="19">
        <v>1.0</v>
      </c>
      <c r="E62" s="19">
        <v>2.0</v>
      </c>
      <c r="F62" s="19">
        <v>1.0</v>
      </c>
      <c r="G62" s="19">
        <v>2.0</v>
      </c>
      <c r="H62" s="19">
        <v>1.0</v>
      </c>
      <c r="I62" s="19">
        <v>3.0</v>
      </c>
      <c r="J62" s="19">
        <v>3.0</v>
      </c>
      <c r="K62" s="19">
        <v>2.0</v>
      </c>
    </row>
    <row r="63">
      <c r="D63" s="19">
        <v>1.0</v>
      </c>
      <c r="E63" s="19">
        <v>2.0</v>
      </c>
      <c r="F63" s="19">
        <v>1.0</v>
      </c>
      <c r="G63" s="19">
        <v>2.0</v>
      </c>
      <c r="H63" s="19">
        <v>1.0</v>
      </c>
      <c r="I63" s="19">
        <v>3.0</v>
      </c>
      <c r="J63" s="19">
        <v>3.0</v>
      </c>
      <c r="K63" s="19">
        <v>2.0</v>
      </c>
    </row>
    <row r="64">
      <c r="D64" s="19">
        <v>1.0</v>
      </c>
      <c r="E64" s="19">
        <v>2.0</v>
      </c>
      <c r="F64" s="19">
        <v>1.0</v>
      </c>
      <c r="G64" s="19">
        <v>2.0</v>
      </c>
      <c r="H64" s="19">
        <v>1.0</v>
      </c>
      <c r="I64" s="19">
        <v>3.0</v>
      </c>
      <c r="J64" s="19">
        <v>3.0</v>
      </c>
      <c r="K64" s="19">
        <v>2.0</v>
      </c>
    </row>
    <row r="65">
      <c r="D65" s="19">
        <v>1.0</v>
      </c>
      <c r="E65" s="19">
        <v>2.0</v>
      </c>
      <c r="F65" s="19">
        <v>1.0</v>
      </c>
      <c r="G65" s="19">
        <v>2.0</v>
      </c>
      <c r="H65" s="19">
        <v>1.0</v>
      </c>
      <c r="I65" s="19">
        <v>3.0</v>
      </c>
      <c r="J65" s="19">
        <v>3.0</v>
      </c>
      <c r="K65" s="19">
        <v>2.0</v>
      </c>
    </row>
    <row r="66">
      <c r="D66" s="19">
        <v>1.0</v>
      </c>
      <c r="E66" s="19">
        <v>2.0</v>
      </c>
      <c r="F66" s="19">
        <v>1.0</v>
      </c>
      <c r="G66" s="19">
        <v>2.0</v>
      </c>
      <c r="H66" s="19">
        <v>1.0</v>
      </c>
      <c r="I66" s="19">
        <v>3.0</v>
      </c>
      <c r="J66" s="19">
        <v>3.0</v>
      </c>
      <c r="K66" s="19">
        <v>2.0</v>
      </c>
    </row>
    <row r="67">
      <c r="D67" s="19">
        <v>1.0</v>
      </c>
      <c r="E67" s="19">
        <v>2.0</v>
      </c>
      <c r="F67" s="19">
        <v>1.0</v>
      </c>
      <c r="G67" s="19">
        <v>2.0</v>
      </c>
      <c r="H67" s="19">
        <v>1.0</v>
      </c>
      <c r="I67" s="19">
        <v>3.0</v>
      </c>
      <c r="J67" s="19">
        <v>3.0</v>
      </c>
      <c r="K67" s="19">
        <v>2.0</v>
      </c>
    </row>
    <row r="68">
      <c r="D68" s="19">
        <v>1.0</v>
      </c>
      <c r="E68" s="19">
        <v>2.0</v>
      </c>
      <c r="F68" s="19">
        <v>1.0</v>
      </c>
      <c r="G68" s="19">
        <v>2.0</v>
      </c>
      <c r="H68" s="19">
        <v>1.0</v>
      </c>
      <c r="I68" s="19">
        <v>3.0</v>
      </c>
      <c r="J68" s="19">
        <v>3.0</v>
      </c>
      <c r="K68" s="19">
        <v>2.0</v>
      </c>
    </row>
    <row r="69">
      <c r="D69" s="19">
        <v>1.0</v>
      </c>
      <c r="E69" s="19">
        <v>2.0</v>
      </c>
      <c r="F69" s="19">
        <v>1.0</v>
      </c>
      <c r="G69" s="19">
        <v>2.0</v>
      </c>
      <c r="H69" s="19">
        <v>1.0</v>
      </c>
      <c r="I69" s="19">
        <v>3.0</v>
      </c>
      <c r="J69" s="19">
        <v>3.0</v>
      </c>
      <c r="K69" s="19">
        <v>2.0</v>
      </c>
    </row>
    <row r="70">
      <c r="D70" s="19">
        <v>1.0</v>
      </c>
      <c r="E70" s="19">
        <v>2.0</v>
      </c>
      <c r="F70" s="19">
        <v>1.0</v>
      </c>
      <c r="G70" s="19">
        <v>2.0</v>
      </c>
      <c r="H70" s="19">
        <v>1.0</v>
      </c>
      <c r="I70" s="19">
        <v>3.0</v>
      </c>
      <c r="J70" s="19">
        <v>3.0</v>
      </c>
      <c r="K70" s="19">
        <v>2.0</v>
      </c>
    </row>
    <row r="71">
      <c r="D71" s="19">
        <v>1.0</v>
      </c>
      <c r="E71" s="19">
        <v>2.0</v>
      </c>
      <c r="F71" s="19">
        <v>1.0</v>
      </c>
      <c r="G71" s="19">
        <v>2.0</v>
      </c>
      <c r="H71" s="19">
        <v>1.0</v>
      </c>
      <c r="I71" s="19">
        <v>3.0</v>
      </c>
      <c r="J71" s="19">
        <v>3.0</v>
      </c>
      <c r="K71" s="19">
        <v>2.0</v>
      </c>
    </row>
    <row r="72">
      <c r="D72" s="19">
        <v>1.0</v>
      </c>
      <c r="E72" s="19">
        <v>2.0</v>
      </c>
      <c r="F72" s="19">
        <v>1.0</v>
      </c>
      <c r="G72" s="19">
        <v>2.0</v>
      </c>
      <c r="H72" s="19">
        <v>1.0</v>
      </c>
      <c r="I72" s="19">
        <v>3.0</v>
      </c>
      <c r="J72" s="19">
        <v>3.0</v>
      </c>
      <c r="K72" s="19">
        <v>2.0</v>
      </c>
    </row>
    <row r="73">
      <c r="D73" s="19">
        <v>1.0</v>
      </c>
      <c r="E73" s="19">
        <v>2.0</v>
      </c>
      <c r="F73" s="19">
        <v>1.0</v>
      </c>
      <c r="G73" s="19">
        <v>2.0</v>
      </c>
      <c r="H73" s="19">
        <v>1.0</v>
      </c>
      <c r="I73" s="19">
        <v>3.0</v>
      </c>
      <c r="J73" s="19">
        <v>3.0</v>
      </c>
      <c r="K73" s="19">
        <v>2.0</v>
      </c>
    </row>
    <row r="74">
      <c r="D74" s="19">
        <v>1.0</v>
      </c>
      <c r="E74" s="19">
        <v>2.0</v>
      </c>
      <c r="F74" s="19">
        <v>1.0</v>
      </c>
      <c r="G74" s="19">
        <v>2.0</v>
      </c>
      <c r="H74" s="19">
        <v>1.0</v>
      </c>
      <c r="I74" s="19">
        <v>3.0</v>
      </c>
      <c r="J74" s="19">
        <v>3.0</v>
      </c>
      <c r="K74" s="19">
        <v>2.0</v>
      </c>
    </row>
    <row r="75">
      <c r="D75" s="19">
        <v>1.0</v>
      </c>
      <c r="E75" s="19">
        <v>2.0</v>
      </c>
      <c r="F75" s="19">
        <v>1.0</v>
      </c>
      <c r="G75" s="19">
        <v>2.0</v>
      </c>
      <c r="H75" s="19">
        <v>1.0</v>
      </c>
      <c r="I75" s="19">
        <v>3.0</v>
      </c>
      <c r="J75" s="19">
        <v>3.0</v>
      </c>
      <c r="K75" s="19">
        <v>2.0</v>
      </c>
    </row>
    <row r="76">
      <c r="D76" s="19">
        <v>1.0</v>
      </c>
      <c r="E76" s="19">
        <v>2.0</v>
      </c>
      <c r="F76" s="19">
        <v>1.0</v>
      </c>
      <c r="G76" s="19">
        <v>2.0</v>
      </c>
      <c r="H76" s="19">
        <v>1.0</v>
      </c>
      <c r="I76" s="19">
        <v>3.0</v>
      </c>
      <c r="J76" s="19">
        <v>3.0</v>
      </c>
      <c r="K76" s="19">
        <v>2.0</v>
      </c>
    </row>
    <row r="77">
      <c r="D77" s="19">
        <v>1.0</v>
      </c>
      <c r="E77" s="19">
        <v>2.0</v>
      </c>
      <c r="F77" s="19">
        <v>1.0</v>
      </c>
      <c r="G77" s="19">
        <v>2.0</v>
      </c>
      <c r="H77" s="19">
        <v>1.0</v>
      </c>
      <c r="I77" s="19">
        <v>3.0</v>
      </c>
      <c r="J77" s="19">
        <v>3.0</v>
      </c>
      <c r="K77" s="19">
        <v>2.0</v>
      </c>
    </row>
    <row r="78">
      <c r="D78" s="19">
        <v>1.0</v>
      </c>
      <c r="E78" s="19">
        <v>2.0</v>
      </c>
      <c r="F78" s="19">
        <v>1.0</v>
      </c>
      <c r="G78" s="19">
        <v>2.0</v>
      </c>
      <c r="H78" s="19">
        <v>1.0</v>
      </c>
      <c r="I78" s="19">
        <v>3.0</v>
      </c>
      <c r="J78" s="19">
        <v>3.0</v>
      </c>
      <c r="K78" s="19">
        <v>2.0</v>
      </c>
    </row>
    <row r="79">
      <c r="D79" s="19">
        <v>1.0</v>
      </c>
      <c r="E79" s="19">
        <v>2.0</v>
      </c>
      <c r="F79" s="19">
        <v>1.0</v>
      </c>
      <c r="G79" s="19">
        <v>2.0</v>
      </c>
      <c r="H79" s="19">
        <v>1.0</v>
      </c>
      <c r="I79" s="19">
        <v>3.0</v>
      </c>
      <c r="J79" s="19">
        <v>3.0</v>
      </c>
      <c r="K79" s="19">
        <v>2.0</v>
      </c>
    </row>
    <row r="80">
      <c r="D80" s="19">
        <v>1.0</v>
      </c>
      <c r="E80" s="19">
        <v>2.0</v>
      </c>
      <c r="F80" s="19">
        <v>1.0</v>
      </c>
      <c r="G80" s="19">
        <v>2.0</v>
      </c>
      <c r="H80" s="19">
        <v>1.0</v>
      </c>
      <c r="I80" s="19">
        <v>3.0</v>
      </c>
      <c r="J80" s="19">
        <v>3.0</v>
      </c>
      <c r="K80" s="19">
        <v>2.0</v>
      </c>
    </row>
    <row r="81">
      <c r="D81" s="19">
        <v>1.0</v>
      </c>
      <c r="E81" s="19">
        <v>2.0</v>
      </c>
      <c r="F81" s="19">
        <v>1.0</v>
      </c>
      <c r="G81" s="19">
        <v>2.0</v>
      </c>
      <c r="H81" s="19">
        <v>1.0</v>
      </c>
      <c r="I81" s="19">
        <v>3.0</v>
      </c>
      <c r="J81" s="19">
        <v>3.0</v>
      </c>
      <c r="K81" s="19">
        <v>2.0</v>
      </c>
    </row>
    <row r="82">
      <c r="D82" s="19">
        <v>1.0</v>
      </c>
      <c r="E82" s="19">
        <v>2.0</v>
      </c>
      <c r="F82" s="19">
        <v>1.0</v>
      </c>
      <c r="G82" s="19">
        <v>2.0</v>
      </c>
      <c r="H82" s="19">
        <v>1.0</v>
      </c>
      <c r="I82" s="19">
        <v>3.0</v>
      </c>
      <c r="J82" s="19">
        <v>3.0</v>
      </c>
      <c r="K82" s="19">
        <v>2.0</v>
      </c>
    </row>
    <row r="83">
      <c r="D83" s="19">
        <v>1.0</v>
      </c>
      <c r="E83" s="19">
        <v>2.0</v>
      </c>
      <c r="F83" s="19">
        <v>1.0</v>
      </c>
      <c r="G83" s="19">
        <v>2.0</v>
      </c>
      <c r="H83" s="19">
        <v>1.0</v>
      </c>
      <c r="I83" s="19">
        <v>3.0</v>
      </c>
      <c r="J83" s="19">
        <v>3.0</v>
      </c>
      <c r="K83" s="19">
        <v>2.0</v>
      </c>
    </row>
    <row r="84">
      <c r="D84" s="19">
        <v>1.0</v>
      </c>
      <c r="E84" s="19">
        <v>2.0</v>
      </c>
      <c r="F84" s="19">
        <v>1.0</v>
      </c>
      <c r="G84" s="19">
        <v>2.0</v>
      </c>
      <c r="H84" s="19">
        <v>1.0</v>
      </c>
      <c r="I84" s="19">
        <v>3.0</v>
      </c>
      <c r="J84" s="19">
        <v>3.0</v>
      </c>
      <c r="K84" s="19">
        <v>2.0</v>
      </c>
    </row>
    <row r="85">
      <c r="D85" s="19">
        <v>1.0</v>
      </c>
      <c r="E85" s="19">
        <v>2.0</v>
      </c>
      <c r="F85" s="19">
        <v>1.0</v>
      </c>
      <c r="G85" s="19">
        <v>2.0</v>
      </c>
      <c r="H85" s="19">
        <v>1.0</v>
      </c>
      <c r="I85" s="19">
        <v>3.0</v>
      </c>
      <c r="J85" s="19">
        <v>3.0</v>
      </c>
      <c r="K85" s="19">
        <v>2.0</v>
      </c>
    </row>
    <row r="86">
      <c r="D86" s="19">
        <v>1.0</v>
      </c>
      <c r="E86" s="19">
        <v>2.0</v>
      </c>
      <c r="F86" s="19">
        <v>1.0</v>
      </c>
      <c r="G86" s="19">
        <v>2.0</v>
      </c>
      <c r="H86" s="19">
        <v>1.0</v>
      </c>
      <c r="I86" s="19">
        <v>3.0</v>
      </c>
      <c r="J86" s="19">
        <v>3.0</v>
      </c>
      <c r="K86" s="19">
        <v>2.0</v>
      </c>
    </row>
    <row r="87">
      <c r="D87" s="19">
        <v>1.0</v>
      </c>
      <c r="E87" s="19">
        <v>2.0</v>
      </c>
      <c r="F87" s="19">
        <v>1.0</v>
      </c>
      <c r="G87" s="19">
        <v>2.0</v>
      </c>
      <c r="H87" s="19">
        <v>1.0</v>
      </c>
      <c r="I87" s="19">
        <v>3.0</v>
      </c>
      <c r="J87" s="19">
        <v>3.0</v>
      </c>
      <c r="K87" s="19">
        <v>2.0</v>
      </c>
    </row>
    <row r="88">
      <c r="D88" s="19">
        <v>1.0</v>
      </c>
      <c r="E88" s="19">
        <v>2.0</v>
      </c>
      <c r="F88" s="19">
        <v>1.0</v>
      </c>
      <c r="G88" s="19">
        <v>2.0</v>
      </c>
      <c r="H88" s="19">
        <v>1.0</v>
      </c>
      <c r="I88" s="19">
        <v>3.0</v>
      </c>
      <c r="J88" s="19">
        <v>3.0</v>
      </c>
      <c r="K88" s="19">
        <v>2.0</v>
      </c>
    </row>
    <row r="89">
      <c r="D89" s="19">
        <v>1.0</v>
      </c>
      <c r="E89" s="19">
        <v>2.0</v>
      </c>
      <c r="F89" s="19">
        <v>1.0</v>
      </c>
      <c r="G89" s="19">
        <v>2.0</v>
      </c>
      <c r="H89" s="19">
        <v>1.0</v>
      </c>
      <c r="I89" s="19">
        <v>3.0</v>
      </c>
      <c r="J89" s="19">
        <v>3.0</v>
      </c>
      <c r="K89" s="19">
        <v>2.0</v>
      </c>
    </row>
    <row r="90">
      <c r="D90" s="19">
        <v>1.0</v>
      </c>
      <c r="E90" s="19">
        <v>2.0</v>
      </c>
      <c r="F90" s="19">
        <v>1.0</v>
      </c>
      <c r="G90" s="19">
        <v>2.0</v>
      </c>
      <c r="H90" s="19">
        <v>1.0</v>
      </c>
      <c r="I90" s="19">
        <v>3.0</v>
      </c>
      <c r="J90" s="19">
        <v>3.0</v>
      </c>
      <c r="K90" s="19">
        <v>2.0</v>
      </c>
    </row>
    <row r="91">
      <c r="D91" s="19">
        <v>1.0</v>
      </c>
      <c r="E91" s="19">
        <v>2.0</v>
      </c>
      <c r="F91" s="19">
        <v>1.0</v>
      </c>
      <c r="G91" s="19">
        <v>2.0</v>
      </c>
      <c r="H91" s="19">
        <v>1.0</v>
      </c>
      <c r="I91" s="19">
        <v>3.0</v>
      </c>
      <c r="J91" s="19">
        <v>3.0</v>
      </c>
      <c r="K91" s="19">
        <v>2.0</v>
      </c>
    </row>
    <row r="92">
      <c r="D92" s="19">
        <v>1.0</v>
      </c>
      <c r="E92" s="19">
        <v>2.0</v>
      </c>
      <c r="F92" s="19">
        <v>1.0</v>
      </c>
      <c r="G92" s="19">
        <v>2.0</v>
      </c>
      <c r="H92" s="19">
        <v>1.0</v>
      </c>
      <c r="I92" s="19">
        <v>3.0</v>
      </c>
      <c r="J92" s="19">
        <v>3.0</v>
      </c>
      <c r="K92" s="19">
        <v>2.0</v>
      </c>
    </row>
    <row r="93">
      <c r="D93" s="19">
        <v>1.0</v>
      </c>
      <c r="E93" s="19">
        <v>2.0</v>
      </c>
      <c r="F93" s="19">
        <v>1.0</v>
      </c>
      <c r="G93" s="19">
        <v>2.0</v>
      </c>
      <c r="H93" s="19">
        <v>1.0</v>
      </c>
      <c r="I93" s="19">
        <v>3.0</v>
      </c>
      <c r="J93" s="19">
        <v>3.0</v>
      </c>
      <c r="K93" s="19">
        <v>2.0</v>
      </c>
    </row>
    <row r="94">
      <c r="D94" s="19">
        <v>1.0</v>
      </c>
      <c r="E94" s="19">
        <v>2.0</v>
      </c>
      <c r="F94" s="19">
        <v>1.0</v>
      </c>
      <c r="G94" s="19">
        <v>2.0</v>
      </c>
      <c r="H94" s="19">
        <v>1.0</v>
      </c>
      <c r="I94" s="19">
        <v>3.0</v>
      </c>
      <c r="J94" s="19">
        <v>3.0</v>
      </c>
      <c r="K94" s="19">
        <v>2.0</v>
      </c>
    </row>
    <row r="95">
      <c r="D95" s="19">
        <v>1.0</v>
      </c>
      <c r="E95" s="19">
        <v>2.0</v>
      </c>
      <c r="F95" s="19">
        <v>1.0</v>
      </c>
      <c r="G95" s="19">
        <v>2.0</v>
      </c>
      <c r="H95" s="19">
        <v>1.0</v>
      </c>
      <c r="I95" s="19">
        <v>3.0</v>
      </c>
      <c r="J95" s="19">
        <v>3.0</v>
      </c>
      <c r="K95" s="19">
        <v>2.0</v>
      </c>
    </row>
    <row r="96">
      <c r="D96" s="19">
        <v>1.0</v>
      </c>
      <c r="E96" s="19">
        <v>2.0</v>
      </c>
      <c r="F96" s="19">
        <v>1.0</v>
      </c>
      <c r="G96" s="19">
        <v>2.0</v>
      </c>
      <c r="H96" s="19">
        <v>1.0</v>
      </c>
      <c r="I96" s="19">
        <v>3.0</v>
      </c>
      <c r="J96" s="19">
        <v>3.0</v>
      </c>
      <c r="K96" s="19">
        <v>2.0</v>
      </c>
    </row>
    <row r="97">
      <c r="D97" s="19">
        <v>1.0</v>
      </c>
      <c r="E97" s="19">
        <v>2.0</v>
      </c>
      <c r="F97" s="19">
        <v>1.0</v>
      </c>
      <c r="G97" s="19">
        <v>2.0</v>
      </c>
      <c r="H97" s="19">
        <v>1.0</v>
      </c>
      <c r="I97" s="19">
        <v>3.0</v>
      </c>
      <c r="J97" s="19">
        <v>3.0</v>
      </c>
      <c r="K97" s="19">
        <v>2.0</v>
      </c>
    </row>
    <row r="98">
      <c r="D98" s="19">
        <v>1.0</v>
      </c>
      <c r="E98" s="19">
        <v>2.0</v>
      </c>
      <c r="F98" s="19">
        <v>1.0</v>
      </c>
      <c r="G98" s="19">
        <v>2.0</v>
      </c>
      <c r="H98" s="19">
        <v>1.0</v>
      </c>
      <c r="I98" s="19">
        <v>3.0</v>
      </c>
      <c r="J98" s="19">
        <v>3.0</v>
      </c>
      <c r="K98" s="19">
        <v>2.0</v>
      </c>
    </row>
  </sheetData>
  <dataValidations>
    <dataValidation type="list" allowBlank="1" sqref="D2:D37">
      <formula1>"True,False"</formula1>
    </dataValidation>
    <dataValidation type="custom" allowBlank="1" showDropDown="1" sqref="B2:C37 E2:K3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