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elfo\Downloads\"/>
    </mc:Choice>
  </mc:AlternateContent>
  <xr:revisionPtr revIDLastSave="0" documentId="13_ncr:1_{09C3B40C-33DA-45F9-8755-63BD3A2473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ão" sheetId="1" r:id="rId1"/>
    <sheet name="Flow Studio Nano banana Pro" sheetId="2" r:id="rId2"/>
    <sheet name="Gemini Nano Banana Pro" sheetId="3" r:id="rId3"/>
    <sheet name="KlingAI" sheetId="4" r:id="rId4"/>
    <sheet name="Juggernaut XL" sheetId="5" r:id="rId5"/>
    <sheet name="CHEYENNE" sheetId="6" r:id="rId6"/>
    <sheet name="NetaYume Lumina - ComfyU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7" l="1"/>
  <c r="K38" i="7"/>
  <c r="J38" i="7"/>
  <c r="I38" i="7"/>
  <c r="H38" i="7"/>
  <c r="G38" i="7"/>
  <c r="F38" i="7"/>
  <c r="E38" i="7"/>
  <c r="C37" i="7"/>
  <c r="B37" i="7" s="1"/>
  <c r="C36" i="7"/>
  <c r="B36" i="7" s="1"/>
  <c r="C35" i="7"/>
  <c r="B35" i="7" s="1"/>
  <c r="C34" i="7"/>
  <c r="B34" i="7" s="1"/>
  <c r="C33" i="7"/>
  <c r="B33" i="7" s="1"/>
  <c r="C32" i="7"/>
  <c r="B32" i="7" s="1"/>
  <c r="C31" i="7"/>
  <c r="B31" i="7" s="1"/>
  <c r="C30" i="7"/>
  <c r="B30" i="7" s="1"/>
  <c r="C29" i="7"/>
  <c r="B29" i="7" s="1"/>
  <c r="C28" i="7"/>
  <c r="B28" i="7" s="1"/>
  <c r="C27" i="7"/>
  <c r="B27" i="7" s="1"/>
  <c r="C26" i="7"/>
  <c r="B26" i="7" s="1"/>
  <c r="C25" i="7"/>
  <c r="B25" i="7" s="1"/>
  <c r="C24" i="7"/>
  <c r="B24" i="7" s="1"/>
  <c r="C23" i="7"/>
  <c r="B23" i="7" s="1"/>
  <c r="C22" i="7"/>
  <c r="B22" i="7" s="1"/>
  <c r="C21" i="7"/>
  <c r="B21" i="7" s="1"/>
  <c r="C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B49" i="6"/>
  <c r="K38" i="6"/>
  <c r="J38" i="6"/>
  <c r="I38" i="6"/>
  <c r="H38" i="6"/>
  <c r="G38" i="6"/>
  <c r="F38" i="6"/>
  <c r="E38" i="6"/>
  <c r="C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49" i="5"/>
  <c r="K38" i="5"/>
  <c r="J38" i="5"/>
  <c r="I38" i="5"/>
  <c r="H38" i="5"/>
  <c r="G38" i="5"/>
  <c r="F38" i="5"/>
  <c r="E38" i="5"/>
  <c r="C37" i="5"/>
  <c r="B37" i="5"/>
  <c r="C36" i="5"/>
  <c r="B36" i="5"/>
  <c r="C35" i="5"/>
  <c r="B35" i="5"/>
  <c r="C34" i="5"/>
  <c r="C38" i="5" s="1"/>
  <c r="B34" i="5"/>
  <c r="C33" i="5"/>
  <c r="C32" i="5"/>
  <c r="C31" i="5"/>
  <c r="C30" i="5"/>
  <c r="C29" i="5"/>
  <c r="C28" i="5"/>
  <c r="C27" i="5"/>
  <c r="C26" i="5"/>
  <c r="C25" i="5"/>
  <c r="C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 s="1"/>
  <c r="C10" i="5"/>
  <c r="C9" i="5"/>
  <c r="C8" i="5"/>
  <c r="C7" i="5"/>
  <c r="C6" i="5"/>
  <c r="C5" i="5"/>
  <c r="C4" i="5"/>
  <c r="C3" i="5"/>
  <c r="C2" i="5"/>
  <c r="B49" i="4"/>
  <c r="K38" i="4"/>
  <c r="J38" i="4"/>
  <c r="I38" i="4"/>
  <c r="H38" i="4"/>
  <c r="G38" i="4"/>
  <c r="F38" i="4"/>
  <c r="E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C28" i="4"/>
  <c r="C27" i="4"/>
  <c r="C26" i="4"/>
  <c r="C25" i="4"/>
  <c r="C24" i="4"/>
  <c r="C23" i="4"/>
  <c r="C22" i="4"/>
  <c r="C21" i="4"/>
  <c r="C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C5" i="4"/>
  <c r="C4" i="4"/>
  <c r="C3" i="4"/>
  <c r="C2" i="4"/>
  <c r="B49" i="3"/>
  <c r="K38" i="3"/>
  <c r="J38" i="3"/>
  <c r="I38" i="3"/>
  <c r="H38" i="3"/>
  <c r="G38" i="3"/>
  <c r="F38" i="3"/>
  <c r="E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C38" i="3" s="1"/>
  <c r="C3" i="1" s="1"/>
  <c r="B25" i="3"/>
  <c r="C24" i="3"/>
  <c r="C23" i="3"/>
  <c r="C22" i="3"/>
  <c r="C21" i="3"/>
  <c r="C20" i="3"/>
  <c r="C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 s="1"/>
  <c r="B49" i="2"/>
  <c r="K38" i="2"/>
  <c r="J38" i="2"/>
  <c r="I38" i="2"/>
  <c r="H38" i="2"/>
  <c r="G38" i="2"/>
  <c r="F38" i="2"/>
  <c r="E38" i="2"/>
  <c r="C37" i="2"/>
  <c r="B37" i="2" s="1"/>
  <c r="C36" i="2"/>
  <c r="B36" i="2" s="1"/>
  <c r="C35" i="2"/>
  <c r="B35" i="2" s="1"/>
  <c r="C34" i="2"/>
  <c r="B34" i="2" s="1"/>
  <c r="C33" i="2"/>
  <c r="B33" i="2" s="1"/>
  <c r="C32" i="2"/>
  <c r="B32" i="2" s="1"/>
  <c r="C31" i="2"/>
  <c r="B31" i="2" s="1"/>
  <c r="C30" i="2"/>
  <c r="B30" i="2" s="1"/>
  <c r="C29" i="2"/>
  <c r="B29" i="2" s="1"/>
  <c r="C28" i="2"/>
  <c r="B28" i="2" s="1"/>
  <c r="C27" i="2"/>
  <c r="B27" i="2" s="1"/>
  <c r="C26" i="2"/>
  <c r="B26" i="2" s="1"/>
  <c r="C25" i="2"/>
  <c r="B25" i="2" s="1"/>
  <c r="C24" i="2"/>
  <c r="B24" i="2" s="1"/>
  <c r="C23" i="2"/>
  <c r="B23" i="2" s="1"/>
  <c r="C22" i="2"/>
  <c r="B22" i="2" s="1"/>
  <c r="C21" i="2"/>
  <c r="B21" i="2" s="1"/>
  <c r="C20" i="2"/>
  <c r="B20" i="2" s="1"/>
  <c r="C19" i="2"/>
  <c r="B19" i="2" s="1"/>
  <c r="C18" i="2"/>
  <c r="B18" i="2" s="1"/>
  <c r="C17" i="2"/>
  <c r="B17" i="2" s="1"/>
  <c r="C16" i="2"/>
  <c r="B16" i="2" s="1"/>
  <c r="C15" i="2"/>
  <c r="B15" i="2" s="1"/>
  <c r="C14" i="2"/>
  <c r="B14" i="2" s="1"/>
  <c r="C13" i="2"/>
  <c r="B13" i="2" s="1"/>
  <c r="C12" i="2"/>
  <c r="B12" i="2" s="1"/>
  <c r="C11" i="2"/>
  <c r="B11" i="2" s="1"/>
  <c r="C10" i="2"/>
  <c r="B10" i="2" s="1"/>
  <c r="C9" i="2"/>
  <c r="B9" i="2"/>
  <c r="C8" i="2"/>
  <c r="B8" i="2" s="1"/>
  <c r="C7" i="2"/>
  <c r="B7" i="2" s="1"/>
  <c r="C6" i="2"/>
  <c r="B6" i="2" s="1"/>
  <c r="C5" i="2"/>
  <c r="B5" i="2" s="1"/>
  <c r="C4" i="2"/>
  <c r="B4" i="2" s="1"/>
  <c r="C3" i="2"/>
  <c r="B3" i="2" s="1"/>
  <c r="B4" i="1" s="1"/>
  <c r="C2" i="2"/>
  <c r="C38" i="2" s="1"/>
  <c r="B2" i="2"/>
  <c r="B38" i="2" s="1"/>
  <c r="K8" i="1"/>
  <c r="J8" i="1"/>
  <c r="I8" i="1"/>
  <c r="H8" i="1"/>
  <c r="G8" i="1"/>
  <c r="F8" i="1"/>
  <c r="E8" i="1"/>
  <c r="C8" i="1"/>
  <c r="K7" i="1"/>
  <c r="J7" i="1"/>
  <c r="I7" i="1"/>
  <c r="H7" i="1"/>
  <c r="G7" i="1"/>
  <c r="F7" i="1"/>
  <c r="E7" i="1"/>
  <c r="C7" i="1"/>
  <c r="K6" i="1"/>
  <c r="J6" i="1"/>
  <c r="I6" i="1"/>
  <c r="H6" i="1"/>
  <c r="G6" i="1"/>
  <c r="F6" i="1"/>
  <c r="E6" i="1"/>
  <c r="K5" i="1"/>
  <c r="J5" i="1"/>
  <c r="I5" i="1"/>
  <c r="H5" i="1"/>
  <c r="G5" i="1"/>
  <c r="F5" i="1"/>
  <c r="E5" i="1"/>
  <c r="K4" i="1"/>
  <c r="J4" i="1"/>
  <c r="I4" i="1"/>
  <c r="H4" i="1"/>
  <c r="G4" i="1"/>
  <c r="F4" i="1"/>
  <c r="E4" i="1"/>
  <c r="C4" i="1"/>
  <c r="K3" i="1"/>
  <c r="J3" i="1"/>
  <c r="I3" i="1"/>
  <c r="H3" i="1"/>
  <c r="G3" i="1"/>
  <c r="F3" i="1"/>
  <c r="E3" i="1"/>
  <c r="B20" i="7" l="1"/>
  <c r="C38" i="7"/>
  <c r="C6" i="1"/>
  <c r="B15" i="6"/>
  <c r="B14" i="6"/>
  <c r="B13" i="6"/>
  <c r="B12" i="6"/>
  <c r="B11" i="6"/>
  <c r="B10" i="6"/>
  <c r="B9" i="6"/>
  <c r="B8" i="6"/>
  <c r="B7" i="6"/>
  <c r="B6" i="6"/>
  <c r="B5" i="6"/>
  <c r="B3" i="6"/>
  <c r="B2" i="6"/>
  <c r="B4" i="6"/>
  <c r="B29" i="5"/>
  <c r="B30" i="5"/>
  <c r="B8" i="5"/>
  <c r="B28" i="5"/>
  <c r="B7" i="5"/>
  <c r="B24" i="5"/>
  <c r="B25" i="5"/>
  <c r="B27" i="5"/>
  <c r="B26" i="5"/>
  <c r="B2" i="5"/>
  <c r="B3" i="5"/>
  <c r="B4" i="5"/>
  <c r="B5" i="5"/>
  <c r="B6" i="5"/>
  <c r="B10" i="5"/>
  <c r="B9" i="5"/>
  <c r="B33" i="5"/>
  <c r="B32" i="5"/>
  <c r="B31" i="5"/>
  <c r="B21" i="4"/>
  <c r="B20" i="4"/>
  <c r="B2" i="4"/>
  <c r="B38" i="4" s="1"/>
  <c r="B5" i="1" s="1"/>
  <c r="B3" i="4"/>
  <c r="B4" i="4"/>
  <c r="B5" i="4"/>
  <c r="B6" i="4"/>
  <c r="B28" i="4"/>
  <c r="B27" i="4"/>
  <c r="B26" i="4"/>
  <c r="B25" i="4"/>
  <c r="B24" i="4"/>
  <c r="B23" i="4"/>
  <c r="B22" i="4"/>
  <c r="C38" i="4"/>
  <c r="C5" i="1" s="1"/>
  <c r="B29" i="4"/>
  <c r="B22" i="3"/>
  <c r="B21" i="3"/>
  <c r="B19" i="3"/>
  <c r="B20" i="3"/>
  <c r="B24" i="3"/>
  <c r="B23" i="3"/>
  <c r="B38" i="7" l="1"/>
  <c r="B6" i="1"/>
  <c r="B38" i="6"/>
  <c r="B8" i="1"/>
  <c r="B38" i="5"/>
  <c r="B7" i="1"/>
  <c r="B38" i="3"/>
  <c r="B3" i="1" s="1"/>
</calcChain>
</file>

<file path=xl/sharedStrings.xml><?xml version="1.0" encoding="utf-8"?>
<sst xmlns="http://schemas.openxmlformats.org/spreadsheetml/2006/main" count="323" uniqueCount="60">
  <si>
    <t>Pontuação Média da IA</t>
  </si>
  <si>
    <t>Nota Final (%)</t>
  </si>
  <si>
    <t>Pontos Totais (max 71)</t>
  </si>
  <si>
    <t>IA consegue gerar Texto?</t>
  </si>
  <si>
    <t>o texo é legivel?</t>
  </si>
  <si>
    <t>Resolução</t>
  </si>
  <si>
    <t>Qualidade Visual</t>
  </si>
  <si>
    <t>Enquadramento</t>
  </si>
  <si>
    <t>Alinhamento Prompt</t>
  </si>
  <si>
    <t>Alucinações</t>
  </si>
  <si>
    <t>Tamanho Prompt</t>
  </si>
  <si>
    <t>Gemini Nano Banana Pro</t>
  </si>
  <si>
    <t>Flow Stuido Nano Banana Pro</t>
  </si>
  <si>
    <t>KlingAi</t>
  </si>
  <si>
    <t>NetaYume Lumina - ComfyUI</t>
  </si>
  <si>
    <t>Juggernaut XL</t>
  </si>
  <si>
    <t>_CHEYENNE_</t>
  </si>
  <si>
    <t>Nome do Teste</t>
  </si>
  <si>
    <t>Tem Texto?</t>
  </si>
  <si>
    <t>Teste 1 - Personagem Pinkbob de frente - 15/12/2025</t>
  </si>
  <si>
    <t>Teste 2 - Personagem Pinkbob de lado - 15/12/2025</t>
  </si>
  <si>
    <t>Teste 3 - Personagem Pinkbob de costas - 15/12/2025</t>
  </si>
  <si>
    <t>Teste 1 - Personagem2 Barba Rosa de frente - 15/12/2025</t>
  </si>
  <si>
    <t>Teste 2 - Personagem2 Barba Rosa de lado - 15/12/2025</t>
  </si>
  <si>
    <t>Teste 3 - Personagem2 Barba Rosa de costas - 15/12/2025</t>
  </si>
  <si>
    <t>Teste 1 - Personagem3 João de frente - 16/12/2025</t>
  </si>
  <si>
    <t>Teste 2 - Personagem3 João de lado - 16/12/2025</t>
  </si>
  <si>
    <t>Teste 3 - Personagem3 João de costas - 16/12/2025</t>
  </si>
  <si>
    <t>Teste 1 - Objeto bussola de frente - 18/12/2025</t>
  </si>
  <si>
    <t>Teste 2 - Objeto bussola de lado - 18/12/2025</t>
  </si>
  <si>
    <t>Teste 3 - Objeto bussola de costas - 18/12/2025</t>
  </si>
  <si>
    <t>Teste 1 - Objeto2 mesa de frente - 18/12/2025</t>
  </si>
  <si>
    <t>Teste 2 - Objeto2 mesa de lado - 18/12/2025</t>
  </si>
  <si>
    <t>Teste 3 - Objeto2 mesa de costas - 18/12/2025</t>
  </si>
  <si>
    <t>Teste 1 - Objeto3 espada pirata de frente - 23/12/2025</t>
  </si>
  <si>
    <t>Teste 2 - Objeto3 espada pirata de lado - 23/12/2025</t>
  </si>
  <si>
    <t>Teste 3 - Objeto3 espada pirata de costas - 23/12/2025</t>
  </si>
  <si>
    <t>Teste 1 - Cenário Cabine Barba Rosa 2D - 25/12/2025</t>
  </si>
  <si>
    <t>Teste 2 - Cenário Cabine Barba Rosa 2D Isométrico - 25/12/2025</t>
  </si>
  <si>
    <t>Teste 3 - Cenário Cabine Barba Rosa 2D de cima - 25/12/2025</t>
  </si>
  <si>
    <t>Teste 1 - Cenário2 Bar Pirata 2D - 26/12/2025</t>
  </si>
  <si>
    <t>Teste 2 - Cenário2 Bar Pirata 2D Isométrico - 26/12/2025</t>
  </si>
  <si>
    <t>Teste 3 - Cenário2 Bar Pirata 2D de cima - 26/12/2025</t>
  </si>
  <si>
    <t>Teste 1 - Cenário3 Centro da cidade 2D - 26/12/2025</t>
  </si>
  <si>
    <t>Teste 2 - Cenário3 Centro da cidade Isométrico - 26/12/2025</t>
  </si>
  <si>
    <t>Teste 3 - Cenário3 Centro da cidade 2D de cima - 26/12/2025</t>
  </si>
  <si>
    <t>Teste 1 - Textura de madeira - 26/12/2025</t>
  </si>
  <si>
    <t>Teste 2 - Textura de mar/oceano - 26/12/2025</t>
  </si>
  <si>
    <t>Teste 2 - Textura de parede com padrao que repete - 26/12/2025</t>
  </si>
  <si>
    <t>Teste 1 - Arte da capa - 28/12/2025</t>
  </si>
  <si>
    <t>Teste 2 - Arte da tela de configurações - 28/12/2025</t>
  </si>
  <si>
    <t>Teste 3 - Arte da tela de ajuda - 28/12/2025</t>
  </si>
  <si>
    <t>Teste 1 - Botão - 29/12/2025</t>
  </si>
  <si>
    <t>Teste 2 - Inventário - 29/12/2025</t>
  </si>
  <si>
    <t>Teste 3 - Cursor - 29/12/2025</t>
  </si>
  <si>
    <t>Médias</t>
  </si>
  <si>
    <t>0 é que tem alucinação e 5 não tem</t>
  </si>
  <si>
    <t>Max de pontos</t>
  </si>
  <si>
    <t>Pesos</t>
  </si>
  <si>
    <t>0 é que tem muita alucinação e 5 não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</si>
</sst>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0"/>
      <color rgb="FF000000"/>
      <name val="Arial"/>
      <scheme val="minor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rgb="FF434343"/>
      <name val="Roboto"/>
    </font>
    <font>
      <sz val="12"/>
      <color rgb="FF434343"/>
      <name val="Calibri"/>
    </font>
    <font>
      <sz val="12"/>
      <color rgb="FF2A3243"/>
      <name val="Calibri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CD9D4"/>
        <bgColor rgb="FFCCD9D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rgb="FFCCD9D4"/>
      </left>
      <right style="thin">
        <color rgb="FFCCD9D4"/>
      </right>
      <top/>
      <bottom style="thin">
        <color rgb="FF284E3F"/>
      </bottom>
      <diagonal/>
    </border>
    <border>
      <left style="thin">
        <color rgb="FFCCD9D4"/>
      </left>
      <right style="thin">
        <color rgb="FF284E3F"/>
      </right>
      <top/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2" fontId="2" fillId="0" borderId="1" xfId="0" applyNumberFormat="1" applyFont="1" applyBorder="1"/>
    <xf numFmtId="2" fontId="2" fillId="0" borderId="2" xfId="0" applyNumberFormat="1" applyFont="1" applyBorder="1"/>
    <xf numFmtId="2" fontId="1" fillId="0" borderId="0" xfId="0" applyNumberFormat="1" applyFont="1"/>
    <xf numFmtId="2" fontId="1" fillId="2" borderId="0" xfId="0" applyNumberFormat="1" applyFont="1" applyFill="1"/>
    <xf numFmtId="2" fontId="2" fillId="0" borderId="0" xfId="0" applyNumberFormat="1" applyFont="1"/>
    <xf numFmtId="0" fontId="3" fillId="0" borderId="0" xfId="0" applyFont="1"/>
    <xf numFmtId="0" fontId="3" fillId="3" borderId="3" xfId="0" applyFont="1" applyFill="1" applyBorder="1"/>
    <xf numFmtId="0" fontId="3" fillId="0" borderId="3" xfId="0" applyFont="1" applyBorder="1"/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4" fillId="4" borderId="4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 vertical="center"/>
    </xf>
    <xf numFmtId="0" fontId="1" fillId="4" borderId="6" xfId="0" applyFont="1" applyFill="1" applyBorder="1"/>
    <xf numFmtId="164" fontId="1" fillId="4" borderId="4" xfId="0" applyNumberFormat="1" applyFont="1" applyFill="1" applyBorder="1" applyAlignment="1">
      <alignment horizontal="right"/>
    </xf>
    <xf numFmtId="0" fontId="6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right"/>
    </xf>
    <xf numFmtId="0" fontId="7" fillId="0" borderId="0" xfId="0" applyFont="1"/>
    <xf numFmtId="0" fontId="3" fillId="0" borderId="0" xfId="0" applyFont="1" applyFill="1"/>
  </cellXfs>
  <cellStyles count="1">
    <cellStyle name="Normal" xfId="0" builtinId="0"/>
  </cellStyles>
  <dxfs count="3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Resumão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Flow Studio Nano banana Pro-style" pivot="0" count="5" xr9:uid="{00000000-0011-0000-FFFF-FFFF01000000}">
      <tableStyleElement type="wholeTable" size="0" dxfId="25"/>
      <tableStyleElement type="headerRow" dxfId="29"/>
      <tableStyleElement type="totalRow" dxfId="26"/>
      <tableStyleElement type="firstRowStripe" dxfId="28"/>
      <tableStyleElement type="secondRowStripe" dxfId="27"/>
    </tableStyle>
    <tableStyle name="Gemini Nano Banana Pro-style" pivot="0" count="5" xr9:uid="{00000000-0011-0000-FFFF-FFFF02000000}">
      <tableStyleElement type="wholeTable" size="0" dxfId="20"/>
      <tableStyleElement type="headerRow" dxfId="24"/>
      <tableStyleElement type="totalRow" dxfId="21"/>
      <tableStyleElement type="firstRowStripe" dxfId="23"/>
      <tableStyleElement type="secondRowStripe" dxfId="22"/>
    </tableStyle>
    <tableStyle name="KlingAI-style" pivot="0" count="5" xr9:uid="{00000000-0011-0000-FFFF-FFFF03000000}">
      <tableStyleElement type="wholeTable" size="0" dxfId="15"/>
      <tableStyleElement type="headerRow" dxfId="19"/>
      <tableStyleElement type="totalRow" dxfId="16"/>
      <tableStyleElement type="firstRowStripe" dxfId="18"/>
      <tableStyleElement type="secondRowStripe" dxfId="17"/>
    </tableStyle>
    <tableStyle name="Juggernaut XL-style" pivot="0" count="5" xr9:uid="{00000000-0011-0000-FFFF-FFFF04000000}">
      <tableStyleElement type="wholeTable" size="0" dxfId="10"/>
      <tableStyleElement type="headerRow" dxfId="14"/>
      <tableStyleElement type="totalRow" dxfId="11"/>
      <tableStyleElement type="firstRowStripe" dxfId="13"/>
      <tableStyleElement type="secondRowStripe" dxfId="12"/>
    </tableStyle>
    <tableStyle name="CHEYENNE-style" pivot="0" count="5" xr9:uid="{00000000-0011-0000-FFFF-FFFF05000000}">
      <tableStyleElement type="wholeTable" size="0" dxfId="5"/>
      <tableStyleElement type="headerRow" dxfId="9"/>
      <tableStyleElement type="totalRow" dxfId="6"/>
      <tableStyleElement type="firstRowStripe" dxfId="8"/>
      <tableStyleElement type="secondRowStripe" dxfId="7"/>
    </tableStyle>
    <tableStyle name="NetaYume Lumina - ComfyUI-style" pivot="0" count="5" xr9:uid="{00000000-0011-0000-FFFF-FFFF06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ão" displayName="Resumão" ref="A2:K8">
  <tableColumns count="11">
    <tableColumn id="1" xr3:uid="{00000000-0010-0000-0000-000001000000}" name="Pontuação Média da IA"/>
    <tableColumn id="2" xr3:uid="{00000000-0010-0000-0000-000002000000}" name="Nota Final (%)"/>
    <tableColumn id="3" xr3:uid="{00000000-0010-0000-0000-000003000000}" name="Pontos Totais (max 71)"/>
    <tableColumn id="4" xr3:uid="{00000000-0010-0000-0000-000004000000}" name="IA consegue gerar Texto?"/>
    <tableColumn id="5" xr3:uid="{00000000-0010-0000-0000-000005000000}" name="o texo é legivel?"/>
    <tableColumn id="6" xr3:uid="{00000000-0010-0000-0000-000006000000}" name="Resolução"/>
    <tableColumn id="7" xr3:uid="{00000000-0010-0000-0000-000007000000}" name="Qualidade Visual"/>
    <tableColumn id="8" xr3:uid="{00000000-0010-0000-0000-000008000000}" name="Enquadramento"/>
    <tableColumn id="9" xr3:uid="{00000000-0010-0000-0000-000009000000}" name="Alinhamento Prompt"/>
    <tableColumn id="10" xr3:uid="{00000000-0010-0000-0000-00000A000000}" name="Alucinações"/>
    <tableColumn id="11" xr3:uid="{00000000-0010-0000-0000-00000B000000}" name="Tamanho Prompt"/>
  </tableColumns>
  <tableStyleInfo name="Resumã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1" displayName="Tabela_1" ref="A1:K38" totalsRowCount="1">
  <tableColumns count="11">
    <tableColumn id="1" xr3:uid="{00000000-0010-0000-0100-000001000000}" name="Nome do Teste" totalsRowLabel="Médias"/>
    <tableColumn id="2" xr3:uid="{00000000-0010-0000-0100-000002000000}" name="Nota Final (%)" totalsRowFunction="custom">
      <totalsRowFormula>MEDIAN(Tabela_1[Nota Final (%)])</totalsRowFormula>
    </tableColumn>
    <tableColumn id="3" xr3:uid="{00000000-0010-0000-0100-000003000000}" name="Pontos Totais (max 71)" totalsRowFunction="custom">
      <totalsRowFormula>MEDIAN(Tabela_1[Pontos Totais (max 71)])</totalsRowFormula>
    </tableColumn>
    <tableColumn id="4" xr3:uid="{00000000-0010-0000-0100-000004000000}" name="Tem Texto?"/>
    <tableColumn id="5" xr3:uid="{00000000-0010-0000-0100-000005000000}" name="o texo é legivel?" totalsRowFunction="custom">
      <totalsRowFormula>AVERAGE(Tabela_1[o texo é legivel?])</totalsRowFormula>
    </tableColumn>
    <tableColumn id="6" xr3:uid="{00000000-0010-0000-0100-000006000000}" name="Resolução" totalsRowFunction="custom">
      <totalsRowFormula>AVERAGE(Tabela_1[Resolução])</totalsRowFormula>
    </tableColumn>
    <tableColumn id="7" xr3:uid="{00000000-0010-0000-0100-000007000000}" name="Qualidade Visual" totalsRowFunction="custom">
      <totalsRowFormula>AVERAGE(Tabela_1[Qualidade Visual])</totalsRowFormula>
    </tableColumn>
    <tableColumn id="8" xr3:uid="{00000000-0010-0000-0100-000008000000}" name="Enquadramento" totalsRowFunction="custom">
      <totalsRowFormula>AVERAGE(Tabela_1[Enquadramento])</totalsRowFormula>
    </tableColumn>
    <tableColumn id="9" xr3:uid="{00000000-0010-0000-0100-000009000000}" name="Alinhamento Prompt" totalsRowFunction="custom">
      <totalsRowFormula>AVERAGE(Tabela_1[Alinhamento Prompt])</totalsRowFormula>
    </tableColumn>
    <tableColumn id="10" xr3:uid="{00000000-0010-0000-0100-00000A000000}" name="Alucinações" totalsRowFunction="custom">
      <totalsRowFormula>MEDIAN(Tabela_1[Alucinações])</totalsRowFormula>
    </tableColumn>
    <tableColumn id="11" xr3:uid="{00000000-0010-0000-0100-00000B000000}" name="Tamanho Prompt" totalsRowFunction="custom">
      <totalsRowFormula>AVERAGE(Tabela_1[Tamanho Prompt])</totalsRowFormula>
    </tableColumn>
  </tableColumns>
  <tableStyleInfo name="Flow Studio Nano banana Pr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" displayName="Tabela" ref="A1:K38" totalsRowCount="1">
  <tableColumns count="11">
    <tableColumn id="1" xr3:uid="{00000000-0010-0000-0200-000001000000}" name="Nome do Teste" totalsRowLabel="Médias"/>
    <tableColumn id="2" xr3:uid="{00000000-0010-0000-0200-000002000000}" name="Nota Final (%)" totalsRowFunction="custom">
      <totalsRowFormula>MEDIAN(Tabela[Nota Final (%)])</totalsRowFormula>
    </tableColumn>
    <tableColumn id="3" xr3:uid="{00000000-0010-0000-0200-000003000000}" name="Pontos Totais (max 71)" totalsRowFunction="custom">
      <totalsRowFormula>MEDIAN(Tabela[Pontos Totais (max 71)])</totalsRowFormula>
    </tableColumn>
    <tableColumn id="4" xr3:uid="{00000000-0010-0000-0200-000004000000}" name="Tem Texto?"/>
    <tableColumn id="5" xr3:uid="{00000000-0010-0000-0200-000005000000}" name="o texo é legivel?" totalsRowFunction="custom">
      <totalsRowFormula>AVERAGE(Tabela[o texo é legivel?])</totalsRowFormula>
    </tableColumn>
    <tableColumn id="6" xr3:uid="{00000000-0010-0000-0200-000006000000}" name="Resolução" totalsRowFunction="custom">
      <totalsRowFormula>AVERAGE(Tabela[Resolução])</totalsRowFormula>
    </tableColumn>
    <tableColumn id="7" xr3:uid="{00000000-0010-0000-0200-000007000000}" name="Qualidade Visual" totalsRowFunction="custom">
      <totalsRowFormula>AVERAGE(Tabela[Qualidade Visual])</totalsRowFormula>
    </tableColumn>
    <tableColumn id="8" xr3:uid="{00000000-0010-0000-0200-000008000000}" name="Enquadramento" totalsRowFunction="custom">
      <totalsRowFormula>AVERAGE(Tabela[Enquadramento])</totalsRowFormula>
    </tableColumn>
    <tableColumn id="9" xr3:uid="{00000000-0010-0000-0200-000009000000}" name="Alinhamento Prompt" totalsRowFunction="custom">
      <totalsRowFormula>AVERAGE(Tabela[Alinhamento Prompt])</totalsRowFormula>
    </tableColumn>
    <tableColumn id="10" xr3:uid="{00000000-0010-0000-0200-00000A000000}" name="Alucinações" totalsRowFunction="custom">
      <totalsRowFormula>MEDIAN(Tabela[Alucinações])</totalsRowFormula>
    </tableColumn>
    <tableColumn id="11" xr3:uid="{00000000-0010-0000-0200-00000B000000}" name="Tamanho Prompt" totalsRowFunction="custom">
      <totalsRowFormula>AVERAGE(Tabela[Tamanho Prompt])</totalsRowFormula>
    </tableColumn>
  </tableColumns>
  <tableStyleInfo name="Gemini Nano Banana Pr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2" displayName="Tabela_2" ref="A1:K38" totalsRowCount="1">
  <tableColumns count="11">
    <tableColumn id="1" xr3:uid="{00000000-0010-0000-0300-000001000000}" name="Nome do Teste" totalsRowLabel="Médias"/>
    <tableColumn id="2" xr3:uid="{00000000-0010-0000-0300-000002000000}" name="Nota Final (%)" totalsRowFunction="custom">
      <totalsRowFormula>MEDIAN(Tabela_2[Nota Final (%)])</totalsRowFormula>
    </tableColumn>
    <tableColumn id="3" xr3:uid="{00000000-0010-0000-0300-000003000000}" name="Pontos Totais (max 71)" totalsRowFunction="custom">
      <totalsRowFormula>MEDIAN(Tabela_2[Pontos Totais (max 71)])</totalsRowFormula>
    </tableColumn>
    <tableColumn id="4" xr3:uid="{00000000-0010-0000-0300-000004000000}" name="Tem Texto?"/>
    <tableColumn id="5" xr3:uid="{00000000-0010-0000-0300-000005000000}" name="o texo é legivel?" totalsRowFunction="custom">
      <totalsRowFormula>AVERAGE(Tabela_2[o texo é legivel?])</totalsRowFormula>
    </tableColumn>
    <tableColumn id="6" xr3:uid="{00000000-0010-0000-0300-000006000000}" name="Resolução" totalsRowFunction="custom">
      <totalsRowFormula>AVERAGE(Tabela_2[Resolução])</totalsRowFormula>
    </tableColumn>
    <tableColumn id="7" xr3:uid="{00000000-0010-0000-0300-000007000000}" name="Qualidade Visual" totalsRowFunction="custom">
      <totalsRowFormula>AVERAGE(Tabela_2[Qualidade Visual])</totalsRowFormula>
    </tableColumn>
    <tableColumn id="8" xr3:uid="{00000000-0010-0000-0300-000008000000}" name="Enquadramento" totalsRowFunction="custom">
      <totalsRowFormula>AVERAGE(Tabela_2[Enquadramento])</totalsRowFormula>
    </tableColumn>
    <tableColumn id="9" xr3:uid="{00000000-0010-0000-0300-000009000000}" name="Alinhamento Prompt" totalsRowFunction="custom">
      <totalsRowFormula>AVERAGE(Tabela_2[Alinhamento Prompt])</totalsRowFormula>
    </tableColumn>
    <tableColumn id="10" xr3:uid="{00000000-0010-0000-0300-00000A000000}" name="Alucinações" totalsRowFunction="custom">
      <totalsRowFormula>MEDIAN(Tabela_2[Alucinações])</totalsRowFormula>
    </tableColumn>
    <tableColumn id="11" xr3:uid="{00000000-0010-0000-0300-00000B000000}" name="Tamanho Prompt" totalsRowFunction="custom">
      <totalsRowFormula>AVERAGE(Tabela_2[Tamanho Prompt])</totalsRowFormula>
    </tableColumn>
  </tableColumns>
  <tableStyleInfo name="KlingAI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_3" displayName="Tabela_3" ref="A1:K38" totalsRowCount="1">
  <tableColumns count="11">
    <tableColumn id="1" xr3:uid="{00000000-0010-0000-0400-000001000000}" name="Nome do Teste" totalsRowLabel="Médias"/>
    <tableColumn id="2" xr3:uid="{00000000-0010-0000-0400-000002000000}" name="Nota Final (%)" totalsRowFunction="custom">
      <totalsRowFormula>MEDIAN(Tabela_3[Nota Final (%)])</totalsRowFormula>
    </tableColumn>
    <tableColumn id="3" xr3:uid="{00000000-0010-0000-0400-000003000000}" name="Pontos Totais (max 71)" totalsRowFunction="custom">
      <totalsRowFormula>MEDIAN(Tabela_3[Pontos Totais (max 71)])</totalsRowFormula>
    </tableColumn>
    <tableColumn id="4" xr3:uid="{00000000-0010-0000-0400-000004000000}" name="Tem Texto?"/>
    <tableColumn id="5" xr3:uid="{00000000-0010-0000-0400-000005000000}" name="o texo é legivel?" totalsRowFunction="custom">
      <totalsRowFormula>AVERAGE(Tabela_3[o texo é legivel?])</totalsRowFormula>
    </tableColumn>
    <tableColumn id="6" xr3:uid="{00000000-0010-0000-0400-000006000000}" name="Resolução" totalsRowFunction="custom">
      <totalsRowFormula>AVERAGE(Tabela_3[Resolução])</totalsRowFormula>
    </tableColumn>
    <tableColumn id="7" xr3:uid="{00000000-0010-0000-0400-000007000000}" name="Qualidade Visual" totalsRowFunction="custom">
      <totalsRowFormula>AVERAGE(Tabela_3[Qualidade Visual])</totalsRowFormula>
    </tableColumn>
    <tableColumn id="8" xr3:uid="{00000000-0010-0000-0400-000008000000}" name="Enquadramento" totalsRowFunction="custom">
      <totalsRowFormula>AVERAGE(Tabela_3[Enquadramento])</totalsRowFormula>
    </tableColumn>
    <tableColumn id="9" xr3:uid="{00000000-0010-0000-0400-000009000000}" name="Alinhamento Prompt" totalsRowFunction="custom">
      <totalsRowFormula>AVERAGE(Tabela_3[Alinhamento Prompt])</totalsRowFormula>
    </tableColumn>
    <tableColumn id="10" xr3:uid="{00000000-0010-0000-0400-00000A000000}" name="Alucinações" totalsRowFunction="custom">
      <totalsRowFormula>MEDIAN(Tabela_3[Alucinações])</totalsRowFormula>
    </tableColumn>
    <tableColumn id="11" xr3:uid="{00000000-0010-0000-0400-00000B000000}" name="Tamanho Prompt" totalsRowFunction="custom">
      <totalsRowFormula>AVERAGE(Tabela_3[Tamanho Prompt])</totalsRowFormula>
    </tableColumn>
  </tableColumns>
  <tableStyleInfo name="Juggernaut XL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_4" displayName="Tabela_4" ref="A1:K38" totalsRowCount="1">
  <tableColumns count="11">
    <tableColumn id="1" xr3:uid="{00000000-0010-0000-0500-000001000000}" name="Nome do Teste" totalsRowLabel="Médias"/>
    <tableColumn id="2" xr3:uid="{00000000-0010-0000-0500-000002000000}" name="Nota Final (%)" totalsRowFunction="custom">
      <totalsRowFormula>MEDIAN(Tabela_4[Nota Final (%)])</totalsRowFormula>
    </tableColumn>
    <tableColumn id="3" xr3:uid="{00000000-0010-0000-0500-000003000000}" name="Pontos Totais (max 71)" totalsRowFunction="custom">
      <totalsRowFormula>MEDIAN(Tabela_4[Pontos Totais (max 71)])</totalsRowFormula>
    </tableColumn>
    <tableColumn id="4" xr3:uid="{00000000-0010-0000-0500-000004000000}" name="Tem Texto?"/>
    <tableColumn id="5" xr3:uid="{00000000-0010-0000-0500-000005000000}" name="o texo é legivel?" totalsRowFunction="custom">
      <totalsRowFormula>AVERAGE(Tabela_4[o texo é legivel?])</totalsRowFormula>
    </tableColumn>
    <tableColumn id="6" xr3:uid="{00000000-0010-0000-0500-000006000000}" name="Resolução" totalsRowFunction="custom">
      <totalsRowFormula>AVERAGE(Tabela_4[Resolução])</totalsRowFormula>
    </tableColumn>
    <tableColumn id="7" xr3:uid="{00000000-0010-0000-0500-000007000000}" name="Qualidade Visual" totalsRowFunction="custom">
      <totalsRowFormula>AVERAGE(Tabela_4[Qualidade Visual])</totalsRowFormula>
    </tableColumn>
    <tableColumn id="8" xr3:uid="{00000000-0010-0000-0500-000008000000}" name="Enquadramento" totalsRowFunction="custom">
      <totalsRowFormula>AVERAGE(Tabela_4[Enquadramento])</totalsRowFormula>
    </tableColumn>
    <tableColumn id="9" xr3:uid="{00000000-0010-0000-0500-000009000000}" name="Alinhamento Prompt" totalsRowFunction="custom">
      <totalsRowFormula>AVERAGE(Tabela_4[Alinhamento Prompt])</totalsRowFormula>
    </tableColumn>
    <tableColumn id="10" xr3:uid="{00000000-0010-0000-0500-00000A000000}" name="Alucinações" totalsRowFunction="custom">
      <totalsRowFormula>MEDIAN(Tabela_4[Alucinações])</totalsRowFormula>
    </tableColumn>
    <tableColumn id="11" xr3:uid="{00000000-0010-0000-0500-00000B000000}" name="Tamanho Prompt" totalsRowFunction="custom">
      <totalsRowFormula>AVERAGE(Tabela_4[Tamanho Prompt])</totalsRowFormula>
    </tableColumn>
  </tableColumns>
  <tableStyleInfo name="CHEYENN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_5" displayName="Tabela_5" ref="A1:K38" totalsRowCount="1">
  <tableColumns count="11">
    <tableColumn id="1" xr3:uid="{00000000-0010-0000-0600-000001000000}" name="Nome do Teste" totalsRowLabel="Médias"/>
    <tableColumn id="2" xr3:uid="{00000000-0010-0000-0600-000002000000}" name="Nota Final (%)" totalsRowFunction="custom">
      <totalsRowFormula>MEDIAN(Tabela_5[Nota Final (%)])</totalsRowFormula>
    </tableColumn>
    <tableColumn id="3" xr3:uid="{00000000-0010-0000-0600-000003000000}" name="Pontos Totais (max 71)" totalsRowFunction="custom">
      <totalsRowFormula>MEDIAN(Tabela_5[Pontos Totais (max 71)])</totalsRowFormula>
    </tableColumn>
    <tableColumn id="4" xr3:uid="{00000000-0010-0000-0600-000004000000}" name="Tem Texto?"/>
    <tableColumn id="5" xr3:uid="{00000000-0010-0000-0600-000005000000}" name="o texo é legivel?" totalsRowFunction="custom">
      <totalsRowFormula>AVERAGE(Tabela_5[o texo é legivel?])</totalsRowFormula>
    </tableColumn>
    <tableColumn id="6" xr3:uid="{00000000-0010-0000-0600-000006000000}" name="Resolução" totalsRowFunction="custom">
      <totalsRowFormula>AVERAGE(Tabela_5[Resolução])</totalsRowFormula>
    </tableColumn>
    <tableColumn id="7" xr3:uid="{00000000-0010-0000-0600-000007000000}" name="Qualidade Visual" totalsRowFunction="custom">
      <totalsRowFormula>AVERAGE(Tabela_5[Qualidade Visual])</totalsRowFormula>
    </tableColumn>
    <tableColumn id="8" xr3:uid="{00000000-0010-0000-0600-000008000000}" name="Enquadramento" totalsRowFunction="custom">
      <totalsRowFormula>AVERAGE(Tabela_5[Enquadramento])</totalsRowFormula>
    </tableColumn>
    <tableColumn id="9" xr3:uid="{00000000-0010-0000-0600-000009000000}" name="Alinhamento Prompt" totalsRowFunction="custom">
      <totalsRowFormula>AVERAGE(Tabela_5[Alinhamento Prompt])</totalsRowFormula>
    </tableColumn>
    <tableColumn id="10" xr3:uid="{00000000-0010-0000-0600-00000A000000}" name="Alucinações" totalsRowFunction="custom">
      <totalsRowFormula>MEDIAN(Tabela_5[Alucinações])</totalsRowFormula>
    </tableColumn>
    <tableColumn id="11" xr3:uid="{00000000-0010-0000-0600-00000B000000}" name="Tamanho Prompt" totalsRowFunction="custom">
      <totalsRowFormula>AVERAGE(Tabela_5[Tamanho Prompt])</totalsRowFormula>
    </tableColumn>
  </tableColumns>
  <tableStyleInfo name="NetaYume Lumina - ComfyU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K14"/>
  <sheetViews>
    <sheetView tabSelected="1" workbookViewId="0">
      <selection activeCell="D18" sqref="D18"/>
    </sheetView>
  </sheetViews>
  <sheetFormatPr defaultColWidth="12.5703125" defaultRowHeight="15.75" customHeight="1" x14ac:dyDescent="0.2"/>
  <cols>
    <col min="1" max="1" width="24.28515625" customWidth="1"/>
    <col min="2" max="2" width="20.140625" customWidth="1"/>
    <col min="3" max="3" width="28" customWidth="1"/>
    <col min="4" max="4" width="24.7109375" customWidth="1"/>
    <col min="5" max="5" width="17" customWidth="1"/>
    <col min="6" max="6" width="22.42578125" customWidth="1"/>
    <col min="7" max="7" width="26.140625" customWidth="1"/>
    <col min="8" max="8" width="21.85546875" customWidth="1"/>
    <col min="9" max="9" width="26.5703125" customWidth="1"/>
    <col min="10" max="10" width="25.7109375" customWidth="1"/>
    <col min="11" max="11" width="16.140625" customWidth="1"/>
  </cols>
  <sheetData>
    <row r="2" spans="1:11" ht="22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2.5" customHeight="1" x14ac:dyDescent="0.25">
      <c r="A3" s="2" t="s">
        <v>11</v>
      </c>
      <c r="B3" s="3">
        <f>MEDIAN(Tabela[[#Totals],[Nota Final (%)]])</f>
        <v>83.098591549295776</v>
      </c>
      <c r="C3" s="2">
        <f>MEDIAN(Tabela[[#Totals],[Pontos Totais (max 71)]])</f>
        <v>59</v>
      </c>
      <c r="D3" s="3" t="b">
        <v>1</v>
      </c>
      <c r="E3" s="4">
        <f>AVERAGE(Tabela[o texo é legivel?])</f>
        <v>1.6388888888888888</v>
      </c>
      <c r="F3" s="4">
        <f>AVERAGE(Tabela[Resolução])</f>
        <v>3.9444444444444446</v>
      </c>
      <c r="G3" s="4">
        <f>AVERAGE(Tabela[Qualidade Visual])</f>
        <v>4.9722222222222223</v>
      </c>
      <c r="H3" s="4">
        <f>AVERAGE(Tabela[Enquadramento])</f>
        <v>5</v>
      </c>
      <c r="I3" s="4">
        <f>AVERAGE(Tabela[Alinhamento Prompt])</f>
        <v>4.4444444444444446</v>
      </c>
      <c r="J3" s="4">
        <f>MEDIAN(Tabela[Alucinações])</f>
        <v>5</v>
      </c>
      <c r="K3" s="5">
        <f>AVERAGE(Tabela[Tamanho Prompt])</f>
        <v>5</v>
      </c>
    </row>
    <row r="4" spans="1:11" ht="22.5" customHeight="1" x14ac:dyDescent="0.25">
      <c r="A4" s="2" t="s">
        <v>12</v>
      </c>
      <c r="B4" s="3">
        <f>MEDIAN(Tabela_1[Nota Final (%)])</f>
        <v>81.690140845070431</v>
      </c>
      <c r="C4" s="2">
        <f>MEDIAN(Tabela_1[Pontos Totais (max 71)])</f>
        <v>58</v>
      </c>
      <c r="D4" s="3" t="b">
        <v>1</v>
      </c>
      <c r="E4" s="6">
        <f>AVERAGE('Flow Studio Nano banana Pro'!$E$2:$E$37)</f>
        <v>1.4722222222222223</v>
      </c>
      <c r="F4" s="6">
        <f>AVERAGE('Flow Studio Nano banana Pro'!$F$2:$F$37)</f>
        <v>3</v>
      </c>
      <c r="G4" s="6">
        <f>AVERAGE('Flow Studio Nano banana Pro'!$G$2:$G$37)</f>
        <v>4.9444444444444446</v>
      </c>
      <c r="H4" s="6">
        <f>AVERAGE('Flow Studio Nano banana Pro'!$H$2:$H$37)</f>
        <v>5</v>
      </c>
      <c r="I4" s="6">
        <f>AVERAGE('Flow Studio Nano banana Pro'!$I$2:$I$37)</f>
        <v>4.75</v>
      </c>
      <c r="J4" s="6">
        <f>MEDIAN('Flow Studio Nano banana Pro'!$J$2:$J$37)</f>
        <v>5</v>
      </c>
      <c r="K4" s="6">
        <f>AVERAGE('Flow Studio Nano banana Pro'!$K$2:$K$37)</f>
        <v>5</v>
      </c>
    </row>
    <row r="5" spans="1:11" ht="22.5" customHeight="1" x14ac:dyDescent="0.25">
      <c r="A5" s="2" t="s">
        <v>13</v>
      </c>
      <c r="B5" s="3">
        <f>MEDIAN(Tabela_2[[#Totals],[Nota Final (%)]])</f>
        <v>76.056338028169009</v>
      </c>
      <c r="C5" s="2">
        <f>MEDIAN(Tabela_2[[#Totals],[Pontos Totais (max 71)]])</f>
        <v>54</v>
      </c>
      <c r="D5" s="3" t="b">
        <v>1</v>
      </c>
      <c r="E5" s="7">
        <f>AVERAGE(KlingAI!$E$2:$E$37)</f>
        <v>0.83333333333333337</v>
      </c>
      <c r="F5" s="7">
        <f>AVERAGE(KlingAI!$F$2:$F$37)</f>
        <v>4</v>
      </c>
      <c r="G5" s="7">
        <f>AVERAGE(KlingAI!$G$2:$G$37)</f>
        <v>5</v>
      </c>
      <c r="H5" s="7">
        <f>AVERAGE(KlingAI!$H$2:$H$37)</f>
        <v>5</v>
      </c>
      <c r="I5" s="7">
        <f>AVERAGE(KlingAI!$I$2:$I$37)</f>
        <v>4.3611111111111107</v>
      </c>
      <c r="J5" s="7">
        <f>MEDIAN(KlingAI!$J$2:$J$37)</f>
        <v>4</v>
      </c>
      <c r="K5" s="7">
        <f>AVERAGE(KlingAI!$K$2:$K$37)</f>
        <v>4</v>
      </c>
    </row>
    <row r="6" spans="1:11" ht="22.5" customHeight="1" x14ac:dyDescent="0.25">
      <c r="A6" s="2" t="s">
        <v>14</v>
      </c>
      <c r="B6" s="3">
        <f>MEDIAN(Tabela_5[Nota Final (%)])</f>
        <v>65.492957746478879</v>
      </c>
      <c r="C6" s="2">
        <f>MEDIAN(Tabela_5[Pontos Totais (max 71)])</f>
        <v>46.5</v>
      </c>
      <c r="D6" s="3" t="b">
        <v>1</v>
      </c>
      <c r="E6" s="8">
        <f>AVERAGE(Tabela_5[o texo é legivel?])</f>
        <v>0.3611111111111111</v>
      </c>
      <c r="F6" s="8">
        <f>AVERAGE(Tabela_5[Resolução])</f>
        <v>3</v>
      </c>
      <c r="G6" s="8">
        <f>AVERAGE(Tabela_5[Qualidade Visual])</f>
        <v>4.333333333333333</v>
      </c>
      <c r="H6" s="8">
        <f>AVERAGE(Tabela_5[Enquadramento])</f>
        <v>4.75</v>
      </c>
      <c r="I6" s="8">
        <f>AVERAGE(Tabela_5[Alinhamento Prompt])</f>
        <v>3.6388888888888888</v>
      </c>
      <c r="J6" s="8">
        <f>MEDIAN(Tabela_5[Alucinações])</f>
        <v>3</v>
      </c>
      <c r="K6" s="8">
        <f>AVERAGE(Tabela_5[Tamanho Prompt])</f>
        <v>5</v>
      </c>
    </row>
    <row r="7" spans="1:11" ht="22.5" customHeight="1" x14ac:dyDescent="0.25">
      <c r="A7" s="2" t="s">
        <v>15</v>
      </c>
      <c r="B7" s="3">
        <f>MEDIAN(Tabela_3[Nota Final (%)])</f>
        <v>54.225352112676056</v>
      </c>
      <c r="C7" s="2">
        <f>MEDIAN(Tabela_3[Pontos Totais (max 71)])</f>
        <v>38.5</v>
      </c>
      <c r="D7" s="3" t="b">
        <v>1</v>
      </c>
      <c r="E7" s="8">
        <f>AVERAGE(Tabela_3[o texo é legivel?])</f>
        <v>0.1111111111111111</v>
      </c>
      <c r="F7" s="8">
        <f>AVERAGE(Tabela_3[Resolução])</f>
        <v>3</v>
      </c>
      <c r="G7" s="8">
        <f>AVERAGE(Tabela_3[Qualidade Visual])</f>
        <v>3.8888888888888888</v>
      </c>
      <c r="H7" s="8">
        <f>AVERAGE(Tabela_3[Enquadramento])</f>
        <v>5</v>
      </c>
      <c r="I7" s="8">
        <f>AVERAGE(Tabela_3[Alinhamento Prompt])</f>
        <v>2.4444444444444446</v>
      </c>
      <c r="J7" s="8">
        <f>MEDIAN(Tabela_3[Alucinações])</f>
        <v>2</v>
      </c>
      <c r="K7" s="8">
        <f>AVERAGE(Tabela_3[Tamanho Prompt])</f>
        <v>5</v>
      </c>
    </row>
    <row r="8" spans="1:11" ht="22.5" customHeight="1" x14ac:dyDescent="0.25">
      <c r="A8" s="2" t="s">
        <v>16</v>
      </c>
      <c r="B8" s="3">
        <f>MEDIAN(Tabela_4[Nota Final (%)])</f>
        <v>47.887323943661968</v>
      </c>
      <c r="C8" s="2">
        <f>MEDIAN(Tabela_4[Pontos Totais (max 71)])</f>
        <v>34</v>
      </c>
      <c r="D8" s="3" t="b">
        <v>0</v>
      </c>
      <c r="E8" s="8">
        <f>AVERAGE(Tabela_4[o texo é legivel?])</f>
        <v>0</v>
      </c>
      <c r="F8" s="8">
        <f>AVERAGE(Tabela_4[Resolução])</f>
        <v>3</v>
      </c>
      <c r="G8" s="8">
        <f>AVERAGE(Tabela_4[Qualidade Visual])</f>
        <v>3.3611111111111112</v>
      </c>
      <c r="H8" s="8">
        <f>AVERAGE(Tabela_4[Enquadramento])</f>
        <v>3.8055555555555554</v>
      </c>
      <c r="I8" s="8">
        <f>AVERAGE(Tabela_4[Alinhamento Prompt])</f>
        <v>1.9166666666666667</v>
      </c>
      <c r="J8" s="8">
        <f>MEDIAN(Tabela_4[Alucinações])</f>
        <v>2</v>
      </c>
      <c r="K8" s="8">
        <f>AVERAGE(Tabela_4[Tamanho Prompt])</f>
        <v>5</v>
      </c>
    </row>
    <row r="10" spans="1:11" ht="12.75" x14ac:dyDescent="0.2">
      <c r="D10" s="24"/>
    </row>
    <row r="11" spans="1:11" ht="12.75" x14ac:dyDescent="0.2">
      <c r="D11" s="9"/>
    </row>
    <row r="12" spans="1:11" ht="12.75" x14ac:dyDescent="0.2">
      <c r="D12" s="9"/>
    </row>
    <row r="13" spans="1:11" ht="12.75" x14ac:dyDescent="0.2">
      <c r="D13" s="9"/>
    </row>
    <row r="14" spans="1:11" ht="12.75" x14ac:dyDescent="0.2">
      <c r="D14" s="9"/>
    </row>
  </sheetData>
  <dataValidations count="2">
    <dataValidation type="list" allowBlank="1" sqref="D3:D8" xr:uid="{00000000-0002-0000-0000-000000000000}">
      <formula1>"True,False"</formula1>
    </dataValidation>
    <dataValidation type="custom" allowBlank="1" showDropDown="1" sqref="B3:C8 E3:K8" xr:uid="{00000000-0002-0000-0000-000001000000}">
      <formula1>AND(ISNUMBER(B3),(NOT(OR(NOT(ISERROR(DATEVALUE(B3))), AND(ISNUMBER(B3), LEFT(CELL("format", B3))="D")))))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7.5703125" customWidth="1"/>
    <col min="2" max="2" width="16.85546875" customWidth="1"/>
    <col min="3" max="3" width="25.42578125" customWidth="1"/>
    <col min="4" max="4" width="17.140625" customWidth="1"/>
    <col min="5" max="5" width="22.28515625" customWidth="1"/>
    <col min="6" max="6" width="17" customWidth="1"/>
    <col min="7" max="7" width="22.42578125" customWidth="1"/>
    <col min="8" max="8" width="21.85546875" customWidth="1"/>
    <col min="9" max="9" width="25.7109375" customWidth="1"/>
    <col min="10" max="10" width="16.140625" customWidth="1"/>
    <col min="11" max="11" width="22.7109375" customWidth="1"/>
    <col min="12" max="23" width="13.85546875" customWidth="1"/>
  </cols>
  <sheetData>
    <row r="1" spans="1:11" ht="22.5" customHeight="1" x14ac:dyDescent="0.25">
      <c r="A1" s="1" t="s">
        <v>17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2" t="s">
        <v>19</v>
      </c>
      <c r="B2" s="3">
        <f>C2/B49 * 100</f>
        <v>97.183098591549296</v>
      </c>
      <c r="C2" s="2">
        <f t="shared" ref="C2:C37" si="0">IF(D2, 1, 0) + (E2 * E49) + (F2 * F49) + (G2 * G49) + (H2 * H49) + (I2 * I49) + (J2 * J49) + (K2 * K49)</f>
        <v>69</v>
      </c>
      <c r="D2" s="2" t="b">
        <v>1</v>
      </c>
      <c r="E2" s="2">
        <v>5</v>
      </c>
      <c r="F2" s="2">
        <v>3</v>
      </c>
      <c r="G2" s="2">
        <v>5</v>
      </c>
      <c r="H2" s="2">
        <v>5</v>
      </c>
      <c r="I2" s="2">
        <v>5</v>
      </c>
      <c r="J2" s="2">
        <v>5</v>
      </c>
      <c r="K2" s="2">
        <v>5</v>
      </c>
    </row>
    <row r="3" spans="1:11" ht="22.5" customHeight="1" x14ac:dyDescent="0.25">
      <c r="A3" s="2" t="s">
        <v>20</v>
      </c>
      <c r="B3" s="3">
        <f>C3/B49 * 100</f>
        <v>97.183098591549296</v>
      </c>
      <c r="C3" s="2">
        <f t="shared" si="0"/>
        <v>69</v>
      </c>
      <c r="D3" s="2" t="b">
        <v>1</v>
      </c>
      <c r="E3" s="2">
        <v>5</v>
      </c>
      <c r="F3" s="2">
        <v>3</v>
      </c>
      <c r="G3" s="2">
        <v>5</v>
      </c>
      <c r="H3" s="2">
        <v>5</v>
      </c>
      <c r="I3" s="2">
        <v>5</v>
      </c>
      <c r="J3" s="2">
        <v>5</v>
      </c>
      <c r="K3" s="2">
        <v>5</v>
      </c>
    </row>
    <row r="4" spans="1:11" ht="22.5" customHeight="1" x14ac:dyDescent="0.25">
      <c r="A4" s="2" t="s">
        <v>21</v>
      </c>
      <c r="B4" s="3">
        <f>C4/B49 * 100</f>
        <v>97.183098591549296</v>
      </c>
      <c r="C4" s="2">
        <f t="shared" si="0"/>
        <v>69</v>
      </c>
      <c r="D4" s="2" t="b">
        <v>1</v>
      </c>
      <c r="E4" s="2">
        <v>5</v>
      </c>
      <c r="F4" s="2">
        <v>3</v>
      </c>
      <c r="G4" s="2">
        <v>5</v>
      </c>
      <c r="H4" s="2">
        <v>5</v>
      </c>
      <c r="I4" s="2">
        <v>5</v>
      </c>
      <c r="J4" s="2">
        <v>5</v>
      </c>
      <c r="K4" s="2">
        <v>5</v>
      </c>
    </row>
    <row r="5" spans="1:11" ht="22.5" customHeight="1" x14ac:dyDescent="0.25">
      <c r="A5" s="2" t="s">
        <v>22</v>
      </c>
      <c r="B5" s="3">
        <f>C5/B49 * 100</f>
        <v>77.464788732394368</v>
      </c>
      <c r="C5" s="2">
        <f t="shared" si="0"/>
        <v>55</v>
      </c>
      <c r="D5" s="2" t="b">
        <v>0</v>
      </c>
      <c r="E5" s="2">
        <v>0</v>
      </c>
      <c r="F5" s="2">
        <v>3</v>
      </c>
      <c r="G5" s="2">
        <v>5</v>
      </c>
      <c r="H5" s="2">
        <v>5</v>
      </c>
      <c r="I5" s="2">
        <v>4</v>
      </c>
      <c r="J5" s="2">
        <v>5</v>
      </c>
      <c r="K5" s="2">
        <v>5</v>
      </c>
    </row>
    <row r="6" spans="1:11" ht="22.5" customHeight="1" x14ac:dyDescent="0.25">
      <c r="A6" s="2" t="s">
        <v>23</v>
      </c>
      <c r="B6" s="3">
        <f>C6/B49 * 100</f>
        <v>77.464788732394368</v>
      </c>
      <c r="C6" s="2">
        <f t="shared" si="0"/>
        <v>55</v>
      </c>
      <c r="D6" s="2" t="b">
        <v>0</v>
      </c>
      <c r="E6" s="2">
        <v>0</v>
      </c>
      <c r="F6" s="2">
        <v>3</v>
      </c>
      <c r="G6" s="2">
        <v>5</v>
      </c>
      <c r="H6" s="2">
        <v>5</v>
      </c>
      <c r="I6" s="2">
        <v>4</v>
      </c>
      <c r="J6" s="2">
        <v>5</v>
      </c>
      <c r="K6" s="2">
        <v>5</v>
      </c>
    </row>
    <row r="7" spans="1:11" ht="22.5" customHeight="1" x14ac:dyDescent="0.25">
      <c r="A7" s="2" t="s">
        <v>24</v>
      </c>
      <c r="B7" s="3">
        <f>C7/B49 * 100</f>
        <v>81.690140845070431</v>
      </c>
      <c r="C7" s="2">
        <f t="shared" si="0"/>
        <v>58</v>
      </c>
      <c r="D7" s="2" t="b">
        <v>0</v>
      </c>
      <c r="E7" s="2">
        <v>0</v>
      </c>
      <c r="F7" s="2">
        <v>3</v>
      </c>
      <c r="G7" s="2">
        <v>5</v>
      </c>
      <c r="H7" s="2">
        <v>5</v>
      </c>
      <c r="I7" s="2">
        <v>5</v>
      </c>
      <c r="J7" s="2">
        <v>5</v>
      </c>
      <c r="K7" s="2">
        <v>5</v>
      </c>
    </row>
    <row r="8" spans="1:11" ht="22.5" customHeight="1" x14ac:dyDescent="0.25">
      <c r="A8" s="2" t="s">
        <v>25</v>
      </c>
      <c r="B8" s="3">
        <f>C8/B49 * 100</f>
        <v>81.690140845070431</v>
      </c>
      <c r="C8" s="2">
        <f t="shared" si="0"/>
        <v>58</v>
      </c>
      <c r="D8" s="2" t="b">
        <v>0</v>
      </c>
      <c r="E8" s="2">
        <v>0</v>
      </c>
      <c r="F8" s="2">
        <v>3</v>
      </c>
      <c r="G8" s="2">
        <v>5</v>
      </c>
      <c r="H8" s="2">
        <v>5</v>
      </c>
      <c r="I8" s="2">
        <v>5</v>
      </c>
      <c r="J8" s="2">
        <v>5</v>
      </c>
      <c r="K8" s="2">
        <v>5</v>
      </c>
    </row>
    <row r="9" spans="1:11" ht="22.5" customHeight="1" x14ac:dyDescent="0.25">
      <c r="A9" s="2" t="s">
        <v>26</v>
      </c>
      <c r="B9" s="3">
        <f>C9/B49 * 100</f>
        <v>78.873239436619713</v>
      </c>
      <c r="C9" s="2">
        <f t="shared" si="0"/>
        <v>56</v>
      </c>
      <c r="D9" s="2" t="b">
        <v>0</v>
      </c>
      <c r="E9" s="2">
        <v>0</v>
      </c>
      <c r="F9" s="2">
        <v>3</v>
      </c>
      <c r="G9" s="2">
        <v>4</v>
      </c>
      <c r="H9" s="2">
        <v>5</v>
      </c>
      <c r="I9" s="2">
        <v>5</v>
      </c>
      <c r="J9" s="2">
        <v>5</v>
      </c>
      <c r="K9" s="2">
        <v>5</v>
      </c>
    </row>
    <row r="10" spans="1:11" ht="22.5" customHeight="1" x14ac:dyDescent="0.25">
      <c r="A10" s="2" t="s">
        <v>27</v>
      </c>
      <c r="B10" s="3">
        <f>C10/B49 * 100</f>
        <v>77.464788732394368</v>
      </c>
      <c r="C10" s="2">
        <f t="shared" si="0"/>
        <v>55</v>
      </c>
      <c r="D10" s="2" t="b">
        <v>0</v>
      </c>
      <c r="E10" s="2">
        <v>0</v>
      </c>
      <c r="F10" s="2">
        <v>3</v>
      </c>
      <c r="G10" s="2">
        <v>5</v>
      </c>
      <c r="H10" s="2">
        <v>5</v>
      </c>
      <c r="I10" s="2">
        <v>4</v>
      </c>
      <c r="J10" s="2">
        <v>5</v>
      </c>
      <c r="K10" s="2">
        <v>5</v>
      </c>
    </row>
    <row r="11" spans="1:11" ht="22.5" customHeight="1" x14ac:dyDescent="0.25">
      <c r="A11" s="2" t="s">
        <v>28</v>
      </c>
      <c r="B11" s="3">
        <f>C11/B49 * 100</f>
        <v>97.183098591549296</v>
      </c>
      <c r="C11" s="2">
        <f t="shared" si="0"/>
        <v>69</v>
      </c>
      <c r="D11" s="2" t="b">
        <v>1</v>
      </c>
      <c r="E11" s="2">
        <v>5</v>
      </c>
      <c r="F11" s="2">
        <v>3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</row>
    <row r="12" spans="1:11" ht="22.5" customHeight="1" x14ac:dyDescent="0.25">
      <c r="A12" s="2" t="s">
        <v>29</v>
      </c>
      <c r="B12" s="3">
        <f>C12/B49 * 100</f>
        <v>81.690140845070431</v>
      </c>
      <c r="C12" s="2">
        <f t="shared" si="0"/>
        <v>58</v>
      </c>
      <c r="D12" s="2" t="b">
        <v>0</v>
      </c>
      <c r="E12" s="2">
        <v>0</v>
      </c>
      <c r="F12" s="2">
        <v>3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</row>
    <row r="13" spans="1:11" ht="22.5" customHeight="1" x14ac:dyDescent="0.25">
      <c r="A13" s="2" t="s">
        <v>30</v>
      </c>
      <c r="B13" s="3">
        <f>C13/B49 * 100</f>
        <v>81.690140845070431</v>
      </c>
      <c r="C13" s="2">
        <f t="shared" si="0"/>
        <v>58</v>
      </c>
      <c r="D13" s="2" t="b">
        <v>0</v>
      </c>
      <c r="E13" s="2">
        <v>0</v>
      </c>
      <c r="F13" s="2">
        <v>3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</row>
    <row r="14" spans="1:11" ht="22.5" customHeight="1" x14ac:dyDescent="0.25">
      <c r="A14" s="2" t="s">
        <v>31</v>
      </c>
      <c r="B14" s="3">
        <f>C14/B49 * 100</f>
        <v>81.690140845070431</v>
      </c>
      <c r="C14" s="2">
        <f t="shared" si="0"/>
        <v>58</v>
      </c>
      <c r="D14" s="2" t="b">
        <v>0</v>
      </c>
      <c r="E14" s="2">
        <v>0</v>
      </c>
      <c r="F14" s="2">
        <v>3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</row>
    <row r="15" spans="1:11" ht="22.5" customHeight="1" x14ac:dyDescent="0.25">
      <c r="A15" s="2" t="s">
        <v>32</v>
      </c>
      <c r="B15" s="3">
        <f>C15/B49 * 100</f>
        <v>77.464788732394368</v>
      </c>
      <c r="C15" s="2">
        <f t="shared" si="0"/>
        <v>55</v>
      </c>
      <c r="D15" s="2" t="b">
        <v>0</v>
      </c>
      <c r="E15" s="2">
        <v>0</v>
      </c>
      <c r="F15" s="2">
        <v>3</v>
      </c>
      <c r="G15" s="2">
        <v>5</v>
      </c>
      <c r="H15" s="2">
        <v>5</v>
      </c>
      <c r="I15" s="2">
        <v>4</v>
      </c>
      <c r="J15" s="2">
        <v>5</v>
      </c>
      <c r="K15" s="2">
        <v>5</v>
      </c>
    </row>
    <row r="16" spans="1:11" ht="22.5" customHeight="1" x14ac:dyDescent="0.25">
      <c r="A16" s="2" t="s">
        <v>33</v>
      </c>
      <c r="B16" s="3">
        <f>C16/B49 * 100</f>
        <v>77.464788732394368</v>
      </c>
      <c r="C16" s="2">
        <f t="shared" si="0"/>
        <v>55</v>
      </c>
      <c r="D16" s="2" t="b">
        <v>0</v>
      </c>
      <c r="E16" s="2">
        <v>0</v>
      </c>
      <c r="F16" s="2">
        <v>3</v>
      </c>
      <c r="G16" s="2">
        <v>5</v>
      </c>
      <c r="H16" s="2">
        <v>5</v>
      </c>
      <c r="I16" s="2">
        <v>4</v>
      </c>
      <c r="J16" s="2">
        <v>5</v>
      </c>
      <c r="K16" s="2">
        <v>5</v>
      </c>
    </row>
    <row r="17" spans="1:11" ht="22.5" customHeight="1" x14ac:dyDescent="0.25">
      <c r="A17" s="2" t="s">
        <v>34</v>
      </c>
      <c r="B17" s="3">
        <f>C17/B49 * 100</f>
        <v>77.464788732394368</v>
      </c>
      <c r="C17" s="2">
        <f t="shared" si="0"/>
        <v>55</v>
      </c>
      <c r="D17" s="2" t="b">
        <v>0</v>
      </c>
      <c r="E17" s="2">
        <v>0</v>
      </c>
      <c r="F17" s="2">
        <v>3</v>
      </c>
      <c r="G17" s="2">
        <v>5</v>
      </c>
      <c r="H17" s="2">
        <v>5</v>
      </c>
      <c r="I17" s="2">
        <v>4</v>
      </c>
      <c r="J17" s="2">
        <v>5</v>
      </c>
      <c r="K17" s="2">
        <v>5</v>
      </c>
    </row>
    <row r="18" spans="1:11" ht="22.5" customHeight="1" x14ac:dyDescent="0.25">
      <c r="A18" s="2" t="s">
        <v>35</v>
      </c>
      <c r="B18" s="3">
        <f>C18/B49 * 100</f>
        <v>77.464788732394368</v>
      </c>
      <c r="C18" s="2">
        <f t="shared" si="0"/>
        <v>55</v>
      </c>
      <c r="D18" s="2" t="b">
        <v>0</v>
      </c>
      <c r="E18" s="2">
        <v>0</v>
      </c>
      <c r="F18" s="2">
        <v>3</v>
      </c>
      <c r="G18" s="2">
        <v>5</v>
      </c>
      <c r="H18" s="2">
        <v>5</v>
      </c>
      <c r="I18" s="2">
        <v>4</v>
      </c>
      <c r="J18" s="2">
        <v>5</v>
      </c>
      <c r="K18" s="2">
        <v>5</v>
      </c>
    </row>
    <row r="19" spans="1:11" ht="22.5" customHeight="1" x14ac:dyDescent="0.25">
      <c r="A19" s="2" t="s">
        <v>36</v>
      </c>
      <c r="B19" s="3">
        <f>C19/B49 * 100</f>
        <v>81.690140845070431</v>
      </c>
      <c r="C19" s="2">
        <f t="shared" si="0"/>
        <v>58</v>
      </c>
      <c r="D19" s="2" t="b">
        <v>0</v>
      </c>
      <c r="E19" s="2">
        <v>0</v>
      </c>
      <c r="F19" s="2">
        <v>3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</row>
    <row r="20" spans="1:11" ht="22.5" customHeight="1" x14ac:dyDescent="0.25">
      <c r="A20" s="2" t="s">
        <v>37</v>
      </c>
      <c r="B20" s="3">
        <f>C20/B49 * 100</f>
        <v>81.690140845070431</v>
      </c>
      <c r="C20" s="2">
        <f t="shared" si="0"/>
        <v>58</v>
      </c>
      <c r="D20" s="2" t="b">
        <v>0</v>
      </c>
      <c r="E20" s="2">
        <v>0</v>
      </c>
      <c r="F20" s="2">
        <v>3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</row>
    <row r="21" spans="1:11" ht="22.5" customHeight="1" x14ac:dyDescent="0.25">
      <c r="A21" s="2" t="s">
        <v>38</v>
      </c>
      <c r="B21" s="3">
        <f>C21/B49 * 100</f>
        <v>77.464788732394368</v>
      </c>
      <c r="C21" s="2">
        <f t="shared" si="0"/>
        <v>55</v>
      </c>
      <c r="D21" s="2" t="b">
        <v>0</v>
      </c>
      <c r="E21" s="2">
        <v>0</v>
      </c>
      <c r="F21" s="2">
        <v>3</v>
      </c>
      <c r="G21" s="2">
        <v>5</v>
      </c>
      <c r="H21" s="2">
        <v>5</v>
      </c>
      <c r="I21" s="2">
        <v>4</v>
      </c>
      <c r="J21" s="2">
        <v>5</v>
      </c>
      <c r="K21" s="2">
        <v>5</v>
      </c>
    </row>
    <row r="22" spans="1:11" ht="22.5" customHeight="1" x14ac:dyDescent="0.25">
      <c r="A22" s="2" t="s">
        <v>39</v>
      </c>
      <c r="B22" s="3">
        <f>C22/B49 * 100</f>
        <v>81.690140845070431</v>
      </c>
      <c r="C22" s="2">
        <f t="shared" si="0"/>
        <v>58</v>
      </c>
      <c r="D22" s="2" t="b">
        <v>0</v>
      </c>
      <c r="E22" s="2">
        <v>0</v>
      </c>
      <c r="F22" s="2">
        <v>3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</row>
    <row r="23" spans="1:11" ht="22.5" customHeight="1" x14ac:dyDescent="0.25">
      <c r="A23" s="2" t="s">
        <v>40</v>
      </c>
      <c r="B23" s="3">
        <f>C23/B49 * 100</f>
        <v>81.690140845070431</v>
      </c>
      <c r="C23" s="2">
        <f t="shared" si="0"/>
        <v>58</v>
      </c>
      <c r="D23" s="2" t="b">
        <v>0</v>
      </c>
      <c r="E23" s="2">
        <v>0</v>
      </c>
      <c r="F23" s="2">
        <v>3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</row>
    <row r="24" spans="1:11" ht="22.5" customHeight="1" x14ac:dyDescent="0.25">
      <c r="A24" s="2" t="s">
        <v>41</v>
      </c>
      <c r="B24" s="3">
        <f>C24/B49 * 100</f>
        <v>81.690140845070431</v>
      </c>
      <c r="C24" s="2">
        <f t="shared" si="0"/>
        <v>58</v>
      </c>
      <c r="D24" s="2" t="b">
        <v>0</v>
      </c>
      <c r="E24" s="2">
        <v>0</v>
      </c>
      <c r="F24" s="2">
        <v>3</v>
      </c>
      <c r="G24" s="2">
        <v>5</v>
      </c>
      <c r="H24" s="2">
        <v>5</v>
      </c>
      <c r="I24" s="2">
        <v>5</v>
      </c>
      <c r="J24" s="2">
        <v>5</v>
      </c>
      <c r="K24" s="2">
        <v>5</v>
      </c>
    </row>
    <row r="25" spans="1:11" ht="22.5" customHeight="1" x14ac:dyDescent="0.25">
      <c r="A25" s="2" t="s">
        <v>42</v>
      </c>
      <c r="B25" s="3">
        <f>C25/B49 * 100</f>
        <v>81.690140845070431</v>
      </c>
      <c r="C25" s="2">
        <f t="shared" si="0"/>
        <v>58</v>
      </c>
      <c r="D25" s="2" t="b">
        <v>0</v>
      </c>
      <c r="E25" s="2">
        <v>0</v>
      </c>
      <c r="F25" s="2">
        <v>3</v>
      </c>
      <c r="G25" s="2">
        <v>5</v>
      </c>
      <c r="H25" s="2">
        <v>5</v>
      </c>
      <c r="I25" s="2">
        <v>5</v>
      </c>
      <c r="J25" s="2">
        <v>5</v>
      </c>
      <c r="K25" s="2">
        <v>5</v>
      </c>
    </row>
    <row r="26" spans="1:11" ht="22.5" customHeight="1" x14ac:dyDescent="0.25">
      <c r="A26" s="2" t="s">
        <v>43</v>
      </c>
      <c r="B26" s="3">
        <f>C26/B49 * 100</f>
        <v>97.183098591549296</v>
      </c>
      <c r="C26" s="2">
        <f t="shared" si="0"/>
        <v>69</v>
      </c>
      <c r="D26" s="2" t="b">
        <v>1</v>
      </c>
      <c r="E26" s="2">
        <v>5</v>
      </c>
      <c r="F26" s="2">
        <v>3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</row>
    <row r="27" spans="1:11" ht="22.5" customHeight="1" x14ac:dyDescent="0.25">
      <c r="A27" s="2" t="s">
        <v>44</v>
      </c>
      <c r="B27" s="3">
        <f>C27/B49 * 100</f>
        <v>97.183098591549296</v>
      </c>
      <c r="C27" s="2">
        <f t="shared" si="0"/>
        <v>69</v>
      </c>
      <c r="D27" s="2" t="b">
        <v>1</v>
      </c>
      <c r="E27" s="2">
        <v>5</v>
      </c>
      <c r="F27" s="2">
        <v>3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</row>
    <row r="28" spans="1:11" ht="22.5" customHeight="1" x14ac:dyDescent="0.25">
      <c r="A28" s="2" t="s">
        <v>45</v>
      </c>
      <c r="B28" s="3">
        <f>C28/B49 * 100</f>
        <v>90.140845070422543</v>
      </c>
      <c r="C28" s="2">
        <f t="shared" si="0"/>
        <v>64</v>
      </c>
      <c r="D28" s="2" t="b">
        <v>1</v>
      </c>
      <c r="E28" s="2">
        <v>4</v>
      </c>
      <c r="F28" s="2">
        <v>3</v>
      </c>
      <c r="G28" s="2">
        <v>5</v>
      </c>
      <c r="H28" s="2">
        <v>5</v>
      </c>
      <c r="I28" s="2">
        <v>4</v>
      </c>
      <c r="J28" s="2">
        <v>5</v>
      </c>
      <c r="K28" s="2">
        <v>5</v>
      </c>
    </row>
    <row r="29" spans="1:11" ht="22.5" customHeight="1" x14ac:dyDescent="0.25">
      <c r="A29" s="2" t="s">
        <v>46</v>
      </c>
      <c r="B29" s="3">
        <f>C29/B49 * 100</f>
        <v>81.690140845070431</v>
      </c>
      <c r="C29" s="2">
        <f t="shared" si="0"/>
        <v>58</v>
      </c>
      <c r="D29" s="2" t="b">
        <v>0</v>
      </c>
      <c r="E29" s="2">
        <v>0</v>
      </c>
      <c r="F29" s="2">
        <v>3</v>
      </c>
      <c r="G29" s="2">
        <v>5</v>
      </c>
      <c r="H29" s="2">
        <v>5</v>
      </c>
      <c r="I29" s="2">
        <v>5</v>
      </c>
      <c r="J29" s="2">
        <v>5</v>
      </c>
      <c r="K29" s="2">
        <v>5</v>
      </c>
    </row>
    <row r="30" spans="1:11" ht="22.5" customHeight="1" x14ac:dyDescent="0.25">
      <c r="A30" s="2" t="s">
        <v>47</v>
      </c>
      <c r="B30" s="3">
        <f>C30/B49 * 100</f>
        <v>81.690140845070431</v>
      </c>
      <c r="C30" s="2">
        <f t="shared" si="0"/>
        <v>58</v>
      </c>
      <c r="D30" s="2" t="b">
        <v>0</v>
      </c>
      <c r="E30" s="2">
        <v>0</v>
      </c>
      <c r="F30" s="2">
        <v>3</v>
      </c>
      <c r="G30" s="2">
        <v>5</v>
      </c>
      <c r="H30" s="2">
        <v>5</v>
      </c>
      <c r="I30" s="2">
        <v>5</v>
      </c>
      <c r="J30" s="2">
        <v>5</v>
      </c>
      <c r="K30" s="2">
        <v>5</v>
      </c>
    </row>
    <row r="31" spans="1:11" ht="22.5" customHeight="1" x14ac:dyDescent="0.25">
      <c r="A31" s="2" t="s">
        <v>48</v>
      </c>
      <c r="B31" s="3">
        <f>C31/B49 * 100</f>
        <v>81.690140845070431</v>
      </c>
      <c r="C31" s="2">
        <f t="shared" si="0"/>
        <v>58</v>
      </c>
      <c r="D31" s="2" t="b">
        <v>0</v>
      </c>
      <c r="E31" s="2">
        <v>0</v>
      </c>
      <c r="F31" s="2">
        <v>3</v>
      </c>
      <c r="G31" s="2">
        <v>5</v>
      </c>
      <c r="H31" s="2">
        <v>5</v>
      </c>
      <c r="I31" s="2">
        <v>5</v>
      </c>
      <c r="J31" s="2">
        <v>5</v>
      </c>
      <c r="K31" s="2">
        <v>5</v>
      </c>
    </row>
    <row r="32" spans="1:11" ht="22.5" customHeight="1" x14ac:dyDescent="0.25">
      <c r="A32" s="2" t="s">
        <v>49</v>
      </c>
      <c r="B32" s="3">
        <f>C32/B49 * 100</f>
        <v>85.91549295774648</v>
      </c>
      <c r="C32" s="2">
        <f t="shared" si="0"/>
        <v>61</v>
      </c>
      <c r="D32" s="2" t="b">
        <v>1</v>
      </c>
      <c r="E32" s="2">
        <v>5</v>
      </c>
      <c r="F32" s="2">
        <v>3</v>
      </c>
      <c r="G32" s="2">
        <v>4</v>
      </c>
      <c r="H32" s="2">
        <v>5</v>
      </c>
      <c r="I32" s="2">
        <v>5</v>
      </c>
      <c r="J32" s="2">
        <v>3</v>
      </c>
      <c r="K32" s="2">
        <v>5</v>
      </c>
    </row>
    <row r="33" spans="1:11" ht="22.5" customHeight="1" x14ac:dyDescent="0.25">
      <c r="A33" s="2" t="s">
        <v>50</v>
      </c>
      <c r="B33" s="3">
        <f>C33/B49 * 100</f>
        <v>92.957746478873233</v>
      </c>
      <c r="C33" s="2">
        <f t="shared" si="0"/>
        <v>66</v>
      </c>
      <c r="D33" s="2" t="b">
        <v>1</v>
      </c>
      <c r="E33" s="2">
        <v>5</v>
      </c>
      <c r="F33" s="2">
        <v>3</v>
      </c>
      <c r="G33" s="2">
        <v>5</v>
      </c>
      <c r="H33" s="2">
        <v>5</v>
      </c>
      <c r="I33" s="2">
        <v>5</v>
      </c>
      <c r="J33" s="2">
        <v>4</v>
      </c>
      <c r="K33" s="2">
        <v>5</v>
      </c>
    </row>
    <row r="34" spans="1:11" ht="22.5" customHeight="1" x14ac:dyDescent="0.25">
      <c r="A34" s="2" t="s">
        <v>51</v>
      </c>
      <c r="B34" s="3">
        <f>C34/B49 * 100</f>
        <v>94.366197183098592</v>
      </c>
      <c r="C34" s="2">
        <f t="shared" si="0"/>
        <v>67</v>
      </c>
      <c r="D34" s="2" t="b">
        <v>1</v>
      </c>
      <c r="E34" s="2">
        <v>4</v>
      </c>
      <c r="F34" s="2">
        <v>3</v>
      </c>
      <c r="G34" s="2">
        <v>5</v>
      </c>
      <c r="H34" s="2">
        <v>5</v>
      </c>
      <c r="I34" s="2">
        <v>5</v>
      </c>
      <c r="J34" s="2">
        <v>5</v>
      </c>
      <c r="K34" s="2">
        <v>5</v>
      </c>
    </row>
    <row r="35" spans="1:11" ht="22.5" customHeight="1" x14ac:dyDescent="0.25">
      <c r="A35" s="2" t="s">
        <v>52</v>
      </c>
      <c r="B35" s="3">
        <f>C35/B49 * 100</f>
        <v>97.183098591549296</v>
      </c>
      <c r="C35" s="2">
        <f t="shared" si="0"/>
        <v>69</v>
      </c>
      <c r="D35" s="2" t="b">
        <v>1</v>
      </c>
      <c r="E35" s="2">
        <v>5</v>
      </c>
      <c r="F35" s="2">
        <v>3</v>
      </c>
      <c r="G35" s="2">
        <v>5</v>
      </c>
      <c r="H35" s="2">
        <v>5</v>
      </c>
      <c r="I35" s="2">
        <v>5</v>
      </c>
      <c r="J35" s="2">
        <v>5</v>
      </c>
      <c r="K35" s="2">
        <v>5</v>
      </c>
    </row>
    <row r="36" spans="1:11" ht="22.5" customHeight="1" x14ac:dyDescent="0.25">
      <c r="A36" s="2" t="s">
        <v>53</v>
      </c>
      <c r="B36" s="3">
        <f>C36/B49 * 100</f>
        <v>81.690140845070431</v>
      </c>
      <c r="C36" s="2">
        <f t="shared" si="0"/>
        <v>58</v>
      </c>
      <c r="D36" s="2" t="b">
        <v>0</v>
      </c>
      <c r="E36" s="2">
        <v>0</v>
      </c>
      <c r="F36" s="2">
        <v>3</v>
      </c>
      <c r="G36" s="2">
        <v>5</v>
      </c>
      <c r="H36" s="2">
        <v>5</v>
      </c>
      <c r="I36" s="2">
        <v>5</v>
      </c>
      <c r="J36" s="2">
        <v>5</v>
      </c>
      <c r="K36" s="2">
        <v>5</v>
      </c>
    </row>
    <row r="37" spans="1:11" ht="22.5" customHeight="1" x14ac:dyDescent="0.25">
      <c r="A37" s="2" t="s">
        <v>54</v>
      </c>
      <c r="B37" s="3">
        <f>C37/B49 * 100</f>
        <v>81.690140845070431</v>
      </c>
      <c r="C37" s="2">
        <f t="shared" si="0"/>
        <v>58</v>
      </c>
      <c r="D37" s="2" t="b">
        <v>0</v>
      </c>
      <c r="E37" s="2">
        <v>0</v>
      </c>
      <c r="F37" s="2">
        <v>3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</row>
    <row r="38" spans="1:11" ht="22.5" customHeight="1" x14ac:dyDescent="0.25">
      <c r="A38" s="2" t="s">
        <v>55</v>
      </c>
      <c r="B38" s="3">
        <f>MEDIAN(Tabela_1[Nota Final (%)])</f>
        <v>81.690140845070431</v>
      </c>
      <c r="C38" s="2">
        <f>MEDIAN(Tabela_1[Pontos Totais (max 71)])</f>
        <v>58</v>
      </c>
      <c r="D38" s="2"/>
      <c r="E38" s="3">
        <f>AVERAGE(Tabela_1[o texo é legivel?])</f>
        <v>1.4722222222222223</v>
      </c>
      <c r="F38" s="2">
        <f>AVERAGE(Tabela_1[Resolução])</f>
        <v>3</v>
      </c>
      <c r="G38" s="3">
        <f>AVERAGE(Tabela_1[Qualidade Visual])</f>
        <v>4.9444444444444446</v>
      </c>
      <c r="H38" s="2">
        <f>AVERAGE(Tabela_1[Enquadramento])</f>
        <v>5</v>
      </c>
      <c r="I38" s="3">
        <f>AVERAGE(Tabela_1[Alinhamento Prompt])</f>
        <v>4.75</v>
      </c>
      <c r="J38" s="2">
        <f>MEDIAN(Tabela_1[Alucinações])</f>
        <v>5</v>
      </c>
      <c r="K38" s="2">
        <f>AVERAGE(Tabela_1[Tamanho Prompt])</f>
        <v>5</v>
      </c>
    </row>
    <row r="40" spans="1:11" ht="12.75" x14ac:dyDescent="0.2">
      <c r="J40" s="9" t="s">
        <v>56</v>
      </c>
    </row>
    <row r="49" spans="1:11" ht="12.75" x14ac:dyDescent="0.2">
      <c r="A49" s="10" t="s">
        <v>57</v>
      </c>
      <c r="B49" s="11">
        <f>1 + (5 * E49) + (5 * F49) + (5 * G49) + (5 * H49) + (5 * I49) + (5* J49) + (5* K49)</f>
        <v>71</v>
      </c>
      <c r="C49" s="10" t="s">
        <v>58</v>
      </c>
      <c r="D49" s="11">
        <v>1</v>
      </c>
      <c r="E49" s="11">
        <v>2</v>
      </c>
      <c r="F49" s="11">
        <v>1</v>
      </c>
      <c r="G49" s="11">
        <v>2</v>
      </c>
      <c r="H49" s="11">
        <v>1</v>
      </c>
      <c r="I49" s="11">
        <v>3</v>
      </c>
      <c r="J49" s="11">
        <v>3</v>
      </c>
      <c r="K49" s="11">
        <v>2</v>
      </c>
    </row>
    <row r="50" spans="1:11" ht="12.75" x14ac:dyDescent="0.2">
      <c r="D50" s="11">
        <v>1</v>
      </c>
      <c r="E50" s="11">
        <v>2</v>
      </c>
      <c r="F50" s="11">
        <v>1</v>
      </c>
      <c r="G50" s="11">
        <v>2</v>
      </c>
      <c r="H50" s="11">
        <v>1</v>
      </c>
      <c r="I50" s="11">
        <v>3</v>
      </c>
      <c r="J50" s="11">
        <v>3</v>
      </c>
      <c r="K50" s="11">
        <v>2</v>
      </c>
    </row>
    <row r="51" spans="1:11" ht="12.75" x14ac:dyDescent="0.2">
      <c r="D51" s="11">
        <v>1</v>
      </c>
      <c r="E51" s="11">
        <v>2</v>
      </c>
      <c r="F51" s="11">
        <v>1</v>
      </c>
      <c r="G51" s="11">
        <v>2</v>
      </c>
      <c r="H51" s="11">
        <v>1</v>
      </c>
      <c r="I51" s="11">
        <v>3</v>
      </c>
      <c r="J51" s="11">
        <v>3</v>
      </c>
      <c r="K51" s="11">
        <v>2</v>
      </c>
    </row>
    <row r="52" spans="1:11" ht="12.75" x14ac:dyDescent="0.2">
      <c r="D52" s="11">
        <v>1</v>
      </c>
      <c r="E52" s="11">
        <v>2</v>
      </c>
      <c r="F52" s="11">
        <v>1</v>
      </c>
      <c r="G52" s="11">
        <v>2</v>
      </c>
      <c r="H52" s="11">
        <v>1</v>
      </c>
      <c r="I52" s="11">
        <v>3</v>
      </c>
      <c r="J52" s="11">
        <v>3</v>
      </c>
      <c r="K52" s="11">
        <v>2</v>
      </c>
    </row>
    <row r="53" spans="1:11" ht="12.75" x14ac:dyDescent="0.2">
      <c r="D53" s="11">
        <v>1</v>
      </c>
      <c r="E53" s="11">
        <v>2</v>
      </c>
      <c r="F53" s="11">
        <v>1</v>
      </c>
      <c r="G53" s="11">
        <v>2</v>
      </c>
      <c r="H53" s="11">
        <v>1</v>
      </c>
      <c r="I53" s="11">
        <v>3</v>
      </c>
      <c r="J53" s="11">
        <v>3</v>
      </c>
      <c r="K53" s="11">
        <v>2</v>
      </c>
    </row>
    <row r="54" spans="1:11" ht="12.75" x14ac:dyDescent="0.2">
      <c r="D54" s="11">
        <v>1</v>
      </c>
      <c r="E54" s="11">
        <v>2</v>
      </c>
      <c r="F54" s="11">
        <v>1</v>
      </c>
      <c r="G54" s="11">
        <v>2</v>
      </c>
      <c r="H54" s="11">
        <v>1</v>
      </c>
      <c r="I54" s="11">
        <v>3</v>
      </c>
      <c r="J54" s="11">
        <v>3</v>
      </c>
      <c r="K54" s="11">
        <v>2</v>
      </c>
    </row>
    <row r="55" spans="1:11" ht="12.75" x14ac:dyDescent="0.2">
      <c r="D55" s="11">
        <v>1</v>
      </c>
      <c r="E55" s="11">
        <v>2</v>
      </c>
      <c r="F55" s="11">
        <v>1</v>
      </c>
      <c r="G55" s="11">
        <v>2</v>
      </c>
      <c r="H55" s="11">
        <v>1</v>
      </c>
      <c r="I55" s="11">
        <v>3</v>
      </c>
      <c r="J55" s="11">
        <v>3</v>
      </c>
      <c r="K55" s="11">
        <v>2</v>
      </c>
    </row>
    <row r="56" spans="1:11" ht="12.75" x14ac:dyDescent="0.2">
      <c r="D56" s="11">
        <v>1</v>
      </c>
      <c r="E56" s="11">
        <v>2</v>
      </c>
      <c r="F56" s="11">
        <v>1</v>
      </c>
      <c r="G56" s="11">
        <v>2</v>
      </c>
      <c r="H56" s="11">
        <v>1</v>
      </c>
      <c r="I56" s="11">
        <v>3</v>
      </c>
      <c r="J56" s="11">
        <v>3</v>
      </c>
      <c r="K56" s="11">
        <v>2</v>
      </c>
    </row>
    <row r="57" spans="1:11" ht="12.75" x14ac:dyDescent="0.2">
      <c r="D57" s="11">
        <v>1</v>
      </c>
      <c r="E57" s="11">
        <v>2</v>
      </c>
      <c r="F57" s="11">
        <v>1</v>
      </c>
      <c r="G57" s="11">
        <v>2</v>
      </c>
      <c r="H57" s="11">
        <v>1</v>
      </c>
      <c r="I57" s="11">
        <v>3</v>
      </c>
      <c r="J57" s="11">
        <v>3</v>
      </c>
      <c r="K57" s="11">
        <v>2</v>
      </c>
    </row>
    <row r="58" spans="1:11" ht="12.75" x14ac:dyDescent="0.2">
      <c r="D58" s="11">
        <v>1</v>
      </c>
      <c r="E58" s="11">
        <v>2</v>
      </c>
      <c r="F58" s="11">
        <v>1</v>
      </c>
      <c r="G58" s="11">
        <v>2</v>
      </c>
      <c r="H58" s="11">
        <v>1</v>
      </c>
      <c r="I58" s="11">
        <v>3</v>
      </c>
      <c r="J58" s="11">
        <v>3</v>
      </c>
      <c r="K58" s="11">
        <v>2</v>
      </c>
    </row>
    <row r="59" spans="1:11" ht="12.75" x14ac:dyDescent="0.2">
      <c r="D59" s="11">
        <v>1</v>
      </c>
      <c r="E59" s="11">
        <v>2</v>
      </c>
      <c r="F59" s="11">
        <v>1</v>
      </c>
      <c r="G59" s="11">
        <v>2</v>
      </c>
      <c r="H59" s="11">
        <v>1</v>
      </c>
      <c r="I59" s="11">
        <v>3</v>
      </c>
      <c r="J59" s="11">
        <v>3</v>
      </c>
      <c r="K59" s="11">
        <v>2</v>
      </c>
    </row>
    <row r="60" spans="1:11" ht="12.75" x14ac:dyDescent="0.2">
      <c r="D60" s="11">
        <v>1</v>
      </c>
      <c r="E60" s="11">
        <v>2</v>
      </c>
      <c r="F60" s="11">
        <v>1</v>
      </c>
      <c r="G60" s="11">
        <v>2</v>
      </c>
      <c r="H60" s="11">
        <v>1</v>
      </c>
      <c r="I60" s="11">
        <v>3</v>
      </c>
      <c r="J60" s="11">
        <v>3</v>
      </c>
      <c r="K60" s="11">
        <v>2</v>
      </c>
    </row>
    <row r="61" spans="1:11" ht="12.75" x14ac:dyDescent="0.2">
      <c r="D61" s="11">
        <v>1</v>
      </c>
      <c r="E61" s="11">
        <v>2</v>
      </c>
      <c r="F61" s="11">
        <v>1</v>
      </c>
      <c r="G61" s="11">
        <v>2</v>
      </c>
      <c r="H61" s="11">
        <v>1</v>
      </c>
      <c r="I61" s="11">
        <v>3</v>
      </c>
      <c r="J61" s="11">
        <v>3</v>
      </c>
      <c r="K61" s="11">
        <v>2</v>
      </c>
    </row>
    <row r="62" spans="1:11" ht="12.75" x14ac:dyDescent="0.2">
      <c r="D62" s="11">
        <v>1</v>
      </c>
      <c r="E62" s="11">
        <v>2</v>
      </c>
      <c r="F62" s="11">
        <v>1</v>
      </c>
      <c r="G62" s="11">
        <v>2</v>
      </c>
      <c r="H62" s="11">
        <v>1</v>
      </c>
      <c r="I62" s="11">
        <v>3</v>
      </c>
      <c r="J62" s="11">
        <v>3</v>
      </c>
      <c r="K62" s="11">
        <v>2</v>
      </c>
    </row>
    <row r="63" spans="1:11" ht="12.75" x14ac:dyDescent="0.2">
      <c r="D63" s="11">
        <v>1</v>
      </c>
      <c r="E63" s="11">
        <v>2</v>
      </c>
      <c r="F63" s="11">
        <v>1</v>
      </c>
      <c r="G63" s="11">
        <v>2</v>
      </c>
      <c r="H63" s="11">
        <v>1</v>
      </c>
      <c r="I63" s="11">
        <v>3</v>
      </c>
      <c r="J63" s="11">
        <v>3</v>
      </c>
      <c r="K63" s="11">
        <v>2</v>
      </c>
    </row>
    <row r="64" spans="1:11" ht="12.75" x14ac:dyDescent="0.2">
      <c r="D64" s="11">
        <v>1</v>
      </c>
      <c r="E64" s="11">
        <v>2</v>
      </c>
      <c r="F64" s="11">
        <v>1</v>
      </c>
      <c r="G64" s="11">
        <v>2</v>
      </c>
      <c r="H64" s="11">
        <v>1</v>
      </c>
      <c r="I64" s="11">
        <v>3</v>
      </c>
      <c r="J64" s="11">
        <v>3</v>
      </c>
      <c r="K64" s="11">
        <v>2</v>
      </c>
    </row>
    <row r="65" spans="4:11" ht="12.75" x14ac:dyDescent="0.2">
      <c r="D65" s="11">
        <v>1</v>
      </c>
      <c r="E65" s="11">
        <v>2</v>
      </c>
      <c r="F65" s="11">
        <v>1</v>
      </c>
      <c r="G65" s="11">
        <v>2</v>
      </c>
      <c r="H65" s="11">
        <v>1</v>
      </c>
      <c r="I65" s="11">
        <v>3</v>
      </c>
      <c r="J65" s="11">
        <v>3</v>
      </c>
      <c r="K65" s="11">
        <v>2</v>
      </c>
    </row>
    <row r="66" spans="4:11" ht="12.75" x14ac:dyDescent="0.2">
      <c r="D66" s="11">
        <v>1</v>
      </c>
      <c r="E66" s="11">
        <v>2</v>
      </c>
      <c r="F66" s="11">
        <v>1</v>
      </c>
      <c r="G66" s="11">
        <v>2</v>
      </c>
      <c r="H66" s="11">
        <v>1</v>
      </c>
      <c r="I66" s="11">
        <v>3</v>
      </c>
      <c r="J66" s="11">
        <v>3</v>
      </c>
      <c r="K66" s="11">
        <v>2</v>
      </c>
    </row>
    <row r="67" spans="4:11" ht="12.75" x14ac:dyDescent="0.2">
      <c r="D67" s="11">
        <v>1</v>
      </c>
      <c r="E67" s="11">
        <v>2</v>
      </c>
      <c r="F67" s="11">
        <v>1</v>
      </c>
      <c r="G67" s="11">
        <v>2</v>
      </c>
      <c r="H67" s="11">
        <v>1</v>
      </c>
      <c r="I67" s="11">
        <v>3</v>
      </c>
      <c r="J67" s="11">
        <v>3</v>
      </c>
      <c r="K67" s="11">
        <v>2</v>
      </c>
    </row>
    <row r="68" spans="4:11" ht="12.75" x14ac:dyDescent="0.2">
      <c r="D68" s="11">
        <v>1</v>
      </c>
      <c r="E68" s="11">
        <v>2</v>
      </c>
      <c r="F68" s="11">
        <v>1</v>
      </c>
      <c r="G68" s="11">
        <v>2</v>
      </c>
      <c r="H68" s="11">
        <v>1</v>
      </c>
      <c r="I68" s="11">
        <v>3</v>
      </c>
      <c r="J68" s="11">
        <v>3</v>
      </c>
      <c r="K68" s="11">
        <v>2</v>
      </c>
    </row>
    <row r="69" spans="4:11" ht="12.75" x14ac:dyDescent="0.2">
      <c r="D69" s="11">
        <v>1</v>
      </c>
      <c r="E69" s="11">
        <v>2</v>
      </c>
      <c r="F69" s="11">
        <v>1</v>
      </c>
      <c r="G69" s="11">
        <v>2</v>
      </c>
      <c r="H69" s="11">
        <v>1</v>
      </c>
      <c r="I69" s="11">
        <v>3</v>
      </c>
      <c r="J69" s="11">
        <v>3</v>
      </c>
      <c r="K69" s="11">
        <v>2</v>
      </c>
    </row>
    <row r="70" spans="4:11" ht="12.75" x14ac:dyDescent="0.2">
      <c r="D70" s="11">
        <v>1</v>
      </c>
      <c r="E70" s="11">
        <v>2</v>
      </c>
      <c r="F70" s="11">
        <v>1</v>
      </c>
      <c r="G70" s="11">
        <v>2</v>
      </c>
      <c r="H70" s="11">
        <v>1</v>
      </c>
      <c r="I70" s="11">
        <v>3</v>
      </c>
      <c r="J70" s="11">
        <v>3</v>
      </c>
      <c r="K70" s="11">
        <v>2</v>
      </c>
    </row>
    <row r="71" spans="4:11" ht="12.75" x14ac:dyDescent="0.2">
      <c r="D71" s="11">
        <v>1</v>
      </c>
      <c r="E71" s="11">
        <v>2</v>
      </c>
      <c r="F71" s="11">
        <v>1</v>
      </c>
      <c r="G71" s="11">
        <v>2</v>
      </c>
      <c r="H71" s="11">
        <v>1</v>
      </c>
      <c r="I71" s="11">
        <v>3</v>
      </c>
      <c r="J71" s="11">
        <v>3</v>
      </c>
      <c r="K71" s="11">
        <v>2</v>
      </c>
    </row>
    <row r="72" spans="4:11" ht="12.75" x14ac:dyDescent="0.2">
      <c r="D72" s="11">
        <v>1</v>
      </c>
      <c r="E72" s="11">
        <v>2</v>
      </c>
      <c r="F72" s="11">
        <v>1</v>
      </c>
      <c r="G72" s="11">
        <v>2</v>
      </c>
      <c r="H72" s="11">
        <v>1</v>
      </c>
      <c r="I72" s="11">
        <v>3</v>
      </c>
      <c r="J72" s="11">
        <v>3</v>
      </c>
      <c r="K72" s="11">
        <v>2</v>
      </c>
    </row>
    <row r="73" spans="4:11" ht="12.75" x14ac:dyDescent="0.2">
      <c r="D73" s="11">
        <v>1</v>
      </c>
      <c r="E73" s="11">
        <v>2</v>
      </c>
      <c r="F73" s="11">
        <v>1</v>
      </c>
      <c r="G73" s="11">
        <v>2</v>
      </c>
      <c r="H73" s="11">
        <v>1</v>
      </c>
      <c r="I73" s="11">
        <v>3</v>
      </c>
      <c r="J73" s="11">
        <v>3</v>
      </c>
      <c r="K73" s="11">
        <v>2</v>
      </c>
    </row>
    <row r="74" spans="4:11" ht="12.75" x14ac:dyDescent="0.2">
      <c r="D74" s="11">
        <v>1</v>
      </c>
      <c r="E74" s="11">
        <v>2</v>
      </c>
      <c r="F74" s="11">
        <v>1</v>
      </c>
      <c r="G74" s="11">
        <v>2</v>
      </c>
      <c r="H74" s="11">
        <v>1</v>
      </c>
      <c r="I74" s="11">
        <v>3</v>
      </c>
      <c r="J74" s="11">
        <v>3</v>
      </c>
      <c r="K74" s="11">
        <v>2</v>
      </c>
    </row>
    <row r="75" spans="4:11" ht="12.75" x14ac:dyDescent="0.2">
      <c r="D75" s="11">
        <v>1</v>
      </c>
      <c r="E75" s="11">
        <v>2</v>
      </c>
      <c r="F75" s="11">
        <v>1</v>
      </c>
      <c r="G75" s="11">
        <v>2</v>
      </c>
      <c r="H75" s="11">
        <v>1</v>
      </c>
      <c r="I75" s="11">
        <v>3</v>
      </c>
      <c r="J75" s="11">
        <v>3</v>
      </c>
      <c r="K75" s="11">
        <v>2</v>
      </c>
    </row>
    <row r="76" spans="4:11" ht="12.75" x14ac:dyDescent="0.2">
      <c r="D76" s="11">
        <v>1</v>
      </c>
      <c r="E76" s="11">
        <v>2</v>
      </c>
      <c r="F76" s="11">
        <v>1</v>
      </c>
      <c r="G76" s="11">
        <v>2</v>
      </c>
      <c r="H76" s="11">
        <v>1</v>
      </c>
      <c r="I76" s="11">
        <v>3</v>
      </c>
      <c r="J76" s="11">
        <v>3</v>
      </c>
      <c r="K76" s="11">
        <v>2</v>
      </c>
    </row>
    <row r="77" spans="4:11" ht="12.75" x14ac:dyDescent="0.2">
      <c r="D77" s="11">
        <v>1</v>
      </c>
      <c r="E77" s="11">
        <v>2</v>
      </c>
      <c r="F77" s="11">
        <v>1</v>
      </c>
      <c r="G77" s="11">
        <v>2</v>
      </c>
      <c r="H77" s="11">
        <v>1</v>
      </c>
      <c r="I77" s="11">
        <v>3</v>
      </c>
      <c r="J77" s="11">
        <v>3</v>
      </c>
      <c r="K77" s="11">
        <v>2</v>
      </c>
    </row>
    <row r="78" spans="4:11" ht="12.75" x14ac:dyDescent="0.2">
      <c r="D78" s="11">
        <v>1</v>
      </c>
      <c r="E78" s="11">
        <v>2</v>
      </c>
      <c r="F78" s="11">
        <v>1</v>
      </c>
      <c r="G78" s="11">
        <v>2</v>
      </c>
      <c r="H78" s="11">
        <v>1</v>
      </c>
      <c r="I78" s="11">
        <v>3</v>
      </c>
      <c r="J78" s="11">
        <v>3</v>
      </c>
      <c r="K78" s="11">
        <v>2</v>
      </c>
    </row>
    <row r="79" spans="4:11" ht="12.75" x14ac:dyDescent="0.2">
      <c r="D79" s="11">
        <v>1</v>
      </c>
      <c r="E79" s="11">
        <v>2</v>
      </c>
      <c r="F79" s="11">
        <v>1</v>
      </c>
      <c r="G79" s="11">
        <v>2</v>
      </c>
      <c r="H79" s="11">
        <v>1</v>
      </c>
      <c r="I79" s="11">
        <v>3</v>
      </c>
      <c r="J79" s="11">
        <v>3</v>
      </c>
      <c r="K79" s="11">
        <v>2</v>
      </c>
    </row>
    <row r="80" spans="4:11" ht="12.75" x14ac:dyDescent="0.2">
      <c r="D80" s="11">
        <v>1</v>
      </c>
      <c r="E80" s="11">
        <v>2</v>
      </c>
      <c r="F80" s="11">
        <v>1</v>
      </c>
      <c r="G80" s="11">
        <v>2</v>
      </c>
      <c r="H80" s="11">
        <v>1</v>
      </c>
      <c r="I80" s="11">
        <v>3</v>
      </c>
      <c r="J80" s="11">
        <v>3</v>
      </c>
      <c r="K80" s="11">
        <v>2</v>
      </c>
    </row>
    <row r="81" spans="4:11" ht="12.75" x14ac:dyDescent="0.2">
      <c r="D81" s="11">
        <v>1</v>
      </c>
      <c r="E81" s="11">
        <v>2</v>
      </c>
      <c r="F81" s="11">
        <v>1</v>
      </c>
      <c r="G81" s="11">
        <v>2</v>
      </c>
      <c r="H81" s="11">
        <v>1</v>
      </c>
      <c r="I81" s="11">
        <v>3</v>
      </c>
      <c r="J81" s="11">
        <v>3</v>
      </c>
      <c r="K81" s="11">
        <v>2</v>
      </c>
    </row>
    <row r="82" spans="4:11" ht="12.75" x14ac:dyDescent="0.2">
      <c r="D82" s="11">
        <v>1</v>
      </c>
      <c r="E82" s="11">
        <v>2</v>
      </c>
      <c r="F82" s="11">
        <v>1</v>
      </c>
      <c r="G82" s="11">
        <v>2</v>
      </c>
      <c r="H82" s="11">
        <v>1</v>
      </c>
      <c r="I82" s="11">
        <v>3</v>
      </c>
      <c r="J82" s="11">
        <v>3</v>
      </c>
      <c r="K82" s="11">
        <v>2</v>
      </c>
    </row>
    <row r="83" spans="4:11" ht="12.75" x14ac:dyDescent="0.2">
      <c r="D83" s="11">
        <v>1</v>
      </c>
      <c r="E83" s="11">
        <v>2</v>
      </c>
      <c r="F83" s="11">
        <v>1</v>
      </c>
      <c r="G83" s="11">
        <v>2</v>
      </c>
      <c r="H83" s="11">
        <v>1</v>
      </c>
      <c r="I83" s="11">
        <v>3</v>
      </c>
      <c r="J83" s="11">
        <v>3</v>
      </c>
      <c r="K83" s="11">
        <v>2</v>
      </c>
    </row>
    <row r="84" spans="4:11" ht="12.75" x14ac:dyDescent="0.2">
      <c r="D84" s="11">
        <v>1</v>
      </c>
      <c r="E84" s="11">
        <v>2</v>
      </c>
      <c r="F84" s="11">
        <v>1</v>
      </c>
      <c r="G84" s="11">
        <v>2</v>
      </c>
      <c r="H84" s="11">
        <v>1</v>
      </c>
      <c r="I84" s="11">
        <v>3</v>
      </c>
      <c r="J84" s="11">
        <v>3</v>
      </c>
      <c r="K84" s="11">
        <v>2</v>
      </c>
    </row>
    <row r="85" spans="4:11" ht="12.75" x14ac:dyDescent="0.2">
      <c r="D85" s="11">
        <v>1</v>
      </c>
      <c r="E85" s="11">
        <v>2</v>
      </c>
      <c r="F85" s="11">
        <v>1</v>
      </c>
      <c r="G85" s="11">
        <v>2</v>
      </c>
      <c r="H85" s="11">
        <v>1</v>
      </c>
      <c r="I85" s="11">
        <v>3</v>
      </c>
      <c r="J85" s="11">
        <v>3</v>
      </c>
      <c r="K85" s="11">
        <v>2</v>
      </c>
    </row>
    <row r="86" spans="4:11" ht="12.75" x14ac:dyDescent="0.2">
      <c r="D86" s="11">
        <v>1</v>
      </c>
      <c r="E86" s="11">
        <v>2</v>
      </c>
      <c r="F86" s="11">
        <v>1</v>
      </c>
      <c r="G86" s="11">
        <v>2</v>
      </c>
      <c r="H86" s="11">
        <v>1</v>
      </c>
      <c r="I86" s="11">
        <v>3</v>
      </c>
      <c r="J86" s="11">
        <v>3</v>
      </c>
      <c r="K86" s="11">
        <v>2</v>
      </c>
    </row>
    <row r="87" spans="4:11" ht="12.75" x14ac:dyDescent="0.2">
      <c r="D87" s="11">
        <v>1</v>
      </c>
      <c r="E87" s="11">
        <v>2</v>
      </c>
      <c r="F87" s="11">
        <v>1</v>
      </c>
      <c r="G87" s="11">
        <v>2</v>
      </c>
      <c r="H87" s="11">
        <v>1</v>
      </c>
      <c r="I87" s="11">
        <v>3</v>
      </c>
      <c r="J87" s="11">
        <v>3</v>
      </c>
      <c r="K87" s="11">
        <v>2</v>
      </c>
    </row>
    <row r="88" spans="4:11" ht="12.75" x14ac:dyDescent="0.2">
      <c r="D88" s="11">
        <v>1</v>
      </c>
      <c r="E88" s="11">
        <v>2</v>
      </c>
      <c r="F88" s="11">
        <v>1</v>
      </c>
      <c r="G88" s="11">
        <v>2</v>
      </c>
      <c r="H88" s="11">
        <v>1</v>
      </c>
      <c r="I88" s="11">
        <v>3</v>
      </c>
      <c r="J88" s="11">
        <v>3</v>
      </c>
      <c r="K88" s="11">
        <v>2</v>
      </c>
    </row>
    <row r="89" spans="4:11" ht="12.75" x14ac:dyDescent="0.2">
      <c r="D89" s="11">
        <v>1</v>
      </c>
      <c r="E89" s="11">
        <v>2</v>
      </c>
      <c r="F89" s="11">
        <v>1</v>
      </c>
      <c r="G89" s="11">
        <v>2</v>
      </c>
      <c r="H89" s="11">
        <v>1</v>
      </c>
      <c r="I89" s="11">
        <v>3</v>
      </c>
      <c r="J89" s="11">
        <v>3</v>
      </c>
      <c r="K89" s="11">
        <v>2</v>
      </c>
    </row>
    <row r="90" spans="4:11" ht="12.75" x14ac:dyDescent="0.2">
      <c r="D90" s="11">
        <v>1</v>
      </c>
      <c r="E90" s="11">
        <v>2</v>
      </c>
      <c r="F90" s="11">
        <v>1</v>
      </c>
      <c r="G90" s="11">
        <v>2</v>
      </c>
      <c r="H90" s="11">
        <v>1</v>
      </c>
      <c r="I90" s="11">
        <v>3</v>
      </c>
      <c r="J90" s="11">
        <v>3</v>
      </c>
      <c r="K90" s="11">
        <v>2</v>
      </c>
    </row>
    <row r="91" spans="4:11" ht="12.75" x14ac:dyDescent="0.2">
      <c r="D91" s="11">
        <v>1</v>
      </c>
      <c r="E91" s="11">
        <v>2</v>
      </c>
      <c r="F91" s="11">
        <v>1</v>
      </c>
      <c r="G91" s="11">
        <v>2</v>
      </c>
      <c r="H91" s="11">
        <v>1</v>
      </c>
      <c r="I91" s="11">
        <v>3</v>
      </c>
      <c r="J91" s="11">
        <v>3</v>
      </c>
      <c r="K91" s="11">
        <v>2</v>
      </c>
    </row>
    <row r="92" spans="4:11" ht="12.75" x14ac:dyDescent="0.2">
      <c r="D92" s="11">
        <v>1</v>
      </c>
      <c r="E92" s="11">
        <v>2</v>
      </c>
      <c r="F92" s="11">
        <v>1</v>
      </c>
      <c r="G92" s="11">
        <v>2</v>
      </c>
      <c r="H92" s="11">
        <v>1</v>
      </c>
      <c r="I92" s="11">
        <v>3</v>
      </c>
      <c r="J92" s="11">
        <v>3</v>
      </c>
      <c r="K92" s="11">
        <v>2</v>
      </c>
    </row>
    <row r="93" spans="4:11" ht="12.75" x14ac:dyDescent="0.2">
      <c r="D93" s="11">
        <v>1</v>
      </c>
      <c r="E93" s="11">
        <v>2</v>
      </c>
      <c r="F93" s="11">
        <v>1</v>
      </c>
      <c r="G93" s="11">
        <v>2</v>
      </c>
      <c r="H93" s="11">
        <v>1</v>
      </c>
      <c r="I93" s="11">
        <v>3</v>
      </c>
      <c r="J93" s="11">
        <v>3</v>
      </c>
      <c r="K93" s="11">
        <v>2</v>
      </c>
    </row>
    <row r="94" spans="4:11" ht="12.75" x14ac:dyDescent="0.2">
      <c r="D94" s="11">
        <v>1</v>
      </c>
      <c r="E94" s="11">
        <v>2</v>
      </c>
      <c r="F94" s="11">
        <v>1</v>
      </c>
      <c r="G94" s="11">
        <v>2</v>
      </c>
      <c r="H94" s="11">
        <v>1</v>
      </c>
      <c r="I94" s="11">
        <v>3</v>
      </c>
      <c r="J94" s="11">
        <v>3</v>
      </c>
      <c r="K94" s="11">
        <v>2</v>
      </c>
    </row>
    <row r="95" spans="4:11" ht="12.75" x14ac:dyDescent="0.2">
      <c r="D95" s="11">
        <v>1</v>
      </c>
      <c r="E95" s="11">
        <v>2</v>
      </c>
      <c r="F95" s="11">
        <v>1</v>
      </c>
      <c r="G95" s="11">
        <v>2</v>
      </c>
      <c r="H95" s="11">
        <v>1</v>
      </c>
      <c r="I95" s="11">
        <v>3</v>
      </c>
      <c r="J95" s="11">
        <v>3</v>
      </c>
      <c r="K95" s="11">
        <v>2</v>
      </c>
    </row>
    <row r="96" spans="4:11" ht="12.75" x14ac:dyDescent="0.2">
      <c r="D96" s="11">
        <v>1</v>
      </c>
      <c r="E96" s="11">
        <v>2</v>
      </c>
      <c r="F96" s="11">
        <v>1</v>
      </c>
      <c r="G96" s="11">
        <v>2</v>
      </c>
      <c r="H96" s="11">
        <v>1</v>
      </c>
      <c r="I96" s="11">
        <v>3</v>
      </c>
      <c r="J96" s="11">
        <v>3</v>
      </c>
      <c r="K96" s="11">
        <v>2</v>
      </c>
    </row>
    <row r="97" spans="4:11" ht="12.75" x14ac:dyDescent="0.2">
      <c r="D97" s="11">
        <v>1</v>
      </c>
      <c r="E97" s="11">
        <v>2</v>
      </c>
      <c r="F97" s="11">
        <v>1</v>
      </c>
      <c r="G97" s="11">
        <v>2</v>
      </c>
      <c r="H97" s="11">
        <v>1</v>
      </c>
      <c r="I97" s="11">
        <v>3</v>
      </c>
      <c r="J97" s="11">
        <v>3</v>
      </c>
      <c r="K97" s="11">
        <v>2</v>
      </c>
    </row>
    <row r="98" spans="4:11" ht="12.75" x14ac:dyDescent="0.2">
      <c r="D98" s="11">
        <v>1</v>
      </c>
      <c r="E98" s="11">
        <v>2</v>
      </c>
      <c r="F98" s="11">
        <v>1</v>
      </c>
      <c r="G98" s="11">
        <v>2</v>
      </c>
      <c r="H98" s="11">
        <v>1</v>
      </c>
      <c r="I98" s="11">
        <v>3</v>
      </c>
      <c r="J98" s="11">
        <v>3</v>
      </c>
      <c r="K98" s="11">
        <v>2</v>
      </c>
    </row>
  </sheetData>
  <dataValidations count="2">
    <dataValidation type="list" allowBlank="1" sqref="D2:D37" xr:uid="{00000000-0002-0000-0100-000000000000}">
      <formula1>"True,False"</formula1>
    </dataValidation>
    <dataValidation type="custom" allowBlank="1" showDropDown="1" sqref="B2:C37 E2:K37" xr:uid="{00000000-0002-0000-01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7.5703125" customWidth="1"/>
    <col min="2" max="2" width="16.85546875" customWidth="1"/>
    <col min="3" max="3" width="25.42578125" customWidth="1"/>
    <col min="4" max="4" width="17.140625" customWidth="1"/>
    <col min="5" max="5" width="22.28515625" customWidth="1"/>
    <col min="6" max="6" width="17" customWidth="1"/>
    <col min="7" max="7" width="22.42578125" customWidth="1"/>
    <col min="8" max="8" width="21.85546875" customWidth="1"/>
    <col min="9" max="9" width="25.7109375" customWidth="1"/>
    <col min="10" max="10" width="16.140625" customWidth="1"/>
    <col min="11" max="11" width="22.7109375" customWidth="1"/>
    <col min="12" max="23" width="13.85546875" customWidth="1"/>
  </cols>
  <sheetData>
    <row r="1" spans="1:11" ht="22.5" customHeight="1" x14ac:dyDescent="0.25">
      <c r="A1" s="1" t="s">
        <v>17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2" t="s">
        <v>19</v>
      </c>
      <c r="B2" s="3">
        <f>C2/B49 * 100</f>
        <v>90.140845070422543</v>
      </c>
      <c r="C2" s="2">
        <f t="shared" ref="C2:C37" si="0">IF(D2, 1, 0) + (E2 * E49) + (F2 * F49) + (G2 * G49) + (H2 * H49) + (I2 * I49) + (J2 * J49) + (K2 * K49)</f>
        <v>64</v>
      </c>
      <c r="D2" s="2" t="b">
        <v>1</v>
      </c>
      <c r="E2" s="12">
        <v>5</v>
      </c>
      <c r="F2" s="12">
        <v>4</v>
      </c>
      <c r="G2" s="12">
        <v>5</v>
      </c>
      <c r="H2" s="12">
        <v>5</v>
      </c>
      <c r="I2" s="12">
        <v>4</v>
      </c>
      <c r="J2" s="12">
        <v>4</v>
      </c>
      <c r="K2" s="13">
        <v>5</v>
      </c>
    </row>
    <row r="3" spans="1:11" ht="22.5" customHeight="1" x14ac:dyDescent="0.25">
      <c r="A3" s="2" t="s">
        <v>20</v>
      </c>
      <c r="B3" s="3">
        <f>C3/B49 * 100</f>
        <v>90.140845070422543</v>
      </c>
      <c r="C3" s="2">
        <f t="shared" si="0"/>
        <v>64</v>
      </c>
      <c r="D3" s="2" t="b">
        <v>1</v>
      </c>
      <c r="E3" s="2">
        <v>5</v>
      </c>
      <c r="F3" s="2">
        <v>4</v>
      </c>
      <c r="G3" s="2">
        <v>5</v>
      </c>
      <c r="H3" s="2">
        <v>5</v>
      </c>
      <c r="I3" s="2">
        <v>4</v>
      </c>
      <c r="J3" s="2">
        <v>4</v>
      </c>
      <c r="K3" s="2">
        <v>5</v>
      </c>
    </row>
    <row r="4" spans="1:11" ht="22.5" customHeight="1" x14ac:dyDescent="0.25">
      <c r="A4" s="2" t="s">
        <v>21</v>
      </c>
      <c r="B4" s="3">
        <f>C4/B49 * 100</f>
        <v>85.91549295774648</v>
      </c>
      <c r="C4" s="2">
        <f t="shared" si="0"/>
        <v>61</v>
      </c>
      <c r="D4" s="2" t="b">
        <v>1</v>
      </c>
      <c r="E4" s="2">
        <v>5</v>
      </c>
      <c r="F4" s="2">
        <v>4</v>
      </c>
      <c r="G4" s="2">
        <v>5</v>
      </c>
      <c r="H4" s="2">
        <v>5</v>
      </c>
      <c r="I4" s="2">
        <v>4</v>
      </c>
      <c r="J4" s="2">
        <v>3</v>
      </c>
      <c r="K4" s="2">
        <v>5</v>
      </c>
    </row>
    <row r="5" spans="1:11" ht="22.5" customHeight="1" x14ac:dyDescent="0.25">
      <c r="A5" s="2" t="s">
        <v>22</v>
      </c>
      <c r="B5" s="3">
        <f>C5/B49 * 100</f>
        <v>74.647887323943664</v>
      </c>
      <c r="C5" s="2">
        <f t="shared" si="0"/>
        <v>53</v>
      </c>
      <c r="D5" s="2" t="b">
        <v>0</v>
      </c>
      <c r="E5" s="2">
        <v>0</v>
      </c>
      <c r="F5" s="2">
        <v>4</v>
      </c>
      <c r="G5" s="2">
        <v>5</v>
      </c>
      <c r="H5" s="2">
        <v>5</v>
      </c>
      <c r="I5" s="2">
        <v>4</v>
      </c>
      <c r="J5" s="2">
        <v>4</v>
      </c>
      <c r="K5" s="2">
        <v>5</v>
      </c>
    </row>
    <row r="6" spans="1:11" ht="22.5" customHeight="1" x14ac:dyDescent="0.25">
      <c r="A6" s="2" t="s">
        <v>23</v>
      </c>
      <c r="B6" s="3">
        <f>C6/B49 * 100</f>
        <v>70.422535211267601</v>
      </c>
      <c r="C6" s="2">
        <f t="shared" si="0"/>
        <v>50</v>
      </c>
      <c r="D6" s="2" t="b">
        <v>0</v>
      </c>
      <c r="E6" s="2">
        <v>0</v>
      </c>
      <c r="F6" s="2">
        <v>4</v>
      </c>
      <c r="G6" s="2">
        <v>5</v>
      </c>
      <c r="H6" s="2">
        <v>5</v>
      </c>
      <c r="I6" s="2">
        <v>4</v>
      </c>
      <c r="J6" s="2">
        <v>3</v>
      </c>
      <c r="K6" s="2">
        <v>5</v>
      </c>
    </row>
    <row r="7" spans="1:11" ht="22.5" customHeight="1" x14ac:dyDescent="0.25">
      <c r="A7" s="2" t="s">
        <v>24</v>
      </c>
      <c r="B7" s="3">
        <f>C7/B49 * 100</f>
        <v>74.647887323943664</v>
      </c>
      <c r="C7" s="2">
        <f t="shared" si="0"/>
        <v>53</v>
      </c>
      <c r="D7" s="2" t="b">
        <v>0</v>
      </c>
      <c r="E7" s="2">
        <v>0</v>
      </c>
      <c r="F7" s="2">
        <v>4</v>
      </c>
      <c r="G7" s="2">
        <v>5</v>
      </c>
      <c r="H7" s="2">
        <v>5</v>
      </c>
      <c r="I7" s="2">
        <v>4</v>
      </c>
      <c r="J7" s="2">
        <v>4</v>
      </c>
      <c r="K7" s="2">
        <v>5</v>
      </c>
    </row>
    <row r="8" spans="1:11" ht="22.5" customHeight="1" x14ac:dyDescent="0.25">
      <c r="A8" s="2" t="s">
        <v>25</v>
      </c>
      <c r="B8" s="3">
        <f>C8/B49 * 100</f>
        <v>70.422535211267601</v>
      </c>
      <c r="C8" s="2">
        <f t="shared" si="0"/>
        <v>50</v>
      </c>
      <c r="D8" s="2" t="b">
        <v>0</v>
      </c>
      <c r="E8" s="2">
        <v>0</v>
      </c>
      <c r="F8" s="2">
        <v>4</v>
      </c>
      <c r="G8" s="2">
        <v>5</v>
      </c>
      <c r="H8" s="2">
        <v>5</v>
      </c>
      <c r="I8" s="2">
        <v>4</v>
      </c>
      <c r="J8" s="2">
        <v>3</v>
      </c>
      <c r="K8" s="2">
        <v>5</v>
      </c>
    </row>
    <row r="9" spans="1:11" ht="22.5" customHeight="1" x14ac:dyDescent="0.25">
      <c r="A9" s="2" t="s">
        <v>26</v>
      </c>
      <c r="B9" s="3">
        <f>C9/B49 * 100</f>
        <v>66.197183098591552</v>
      </c>
      <c r="C9" s="2">
        <f t="shared" si="0"/>
        <v>47</v>
      </c>
      <c r="D9" s="2" t="b">
        <v>0</v>
      </c>
      <c r="E9" s="2">
        <v>0</v>
      </c>
      <c r="F9" s="2">
        <v>4</v>
      </c>
      <c r="G9" s="2">
        <v>5</v>
      </c>
      <c r="H9" s="2">
        <v>5</v>
      </c>
      <c r="I9" s="2">
        <v>3</v>
      </c>
      <c r="J9" s="2">
        <v>3</v>
      </c>
      <c r="K9" s="2">
        <v>5</v>
      </c>
    </row>
    <row r="10" spans="1:11" ht="22.5" customHeight="1" x14ac:dyDescent="0.25">
      <c r="A10" s="2" t="s">
        <v>27</v>
      </c>
      <c r="B10" s="3">
        <f>C10/B49 * 100</f>
        <v>74.647887323943664</v>
      </c>
      <c r="C10" s="2">
        <f t="shared" si="0"/>
        <v>53</v>
      </c>
      <c r="D10" s="2" t="b">
        <v>0</v>
      </c>
      <c r="E10" s="2">
        <v>0</v>
      </c>
      <c r="F10" s="2">
        <v>4</v>
      </c>
      <c r="G10" s="2">
        <v>5</v>
      </c>
      <c r="H10" s="2">
        <v>5</v>
      </c>
      <c r="I10" s="2">
        <v>4</v>
      </c>
      <c r="J10" s="2">
        <v>4</v>
      </c>
      <c r="K10" s="2">
        <v>5</v>
      </c>
    </row>
    <row r="11" spans="1:11" ht="22.5" customHeight="1" x14ac:dyDescent="0.25">
      <c r="A11" s="2" t="s">
        <v>28</v>
      </c>
      <c r="B11" s="3">
        <f>C11/B49 * 100</f>
        <v>78.873239436619713</v>
      </c>
      <c r="C11" s="2">
        <f t="shared" si="0"/>
        <v>56</v>
      </c>
      <c r="D11" s="2" t="b">
        <v>0</v>
      </c>
      <c r="E11" s="2">
        <v>0</v>
      </c>
      <c r="F11" s="2">
        <v>4</v>
      </c>
      <c r="G11" s="2">
        <v>5</v>
      </c>
      <c r="H11" s="2">
        <v>5</v>
      </c>
      <c r="I11" s="2">
        <v>5</v>
      </c>
      <c r="J11" s="2">
        <v>4</v>
      </c>
      <c r="K11" s="2">
        <v>5</v>
      </c>
    </row>
    <row r="12" spans="1:11" ht="22.5" customHeight="1" x14ac:dyDescent="0.25">
      <c r="A12" s="2" t="s">
        <v>29</v>
      </c>
      <c r="B12" s="3">
        <f>C12/B49 * 100</f>
        <v>83.098591549295776</v>
      </c>
      <c r="C12" s="2">
        <f t="shared" si="0"/>
        <v>59</v>
      </c>
      <c r="D12" s="2" t="b">
        <v>0</v>
      </c>
      <c r="E12" s="2">
        <v>0</v>
      </c>
      <c r="F12" s="2">
        <v>4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</row>
    <row r="13" spans="1:11" ht="22.5" customHeight="1" x14ac:dyDescent="0.25">
      <c r="A13" s="2" t="s">
        <v>30</v>
      </c>
      <c r="B13" s="3">
        <f>C13/B49 * 100</f>
        <v>83.098591549295776</v>
      </c>
      <c r="C13" s="2">
        <f t="shared" si="0"/>
        <v>59</v>
      </c>
      <c r="D13" s="2" t="b">
        <v>0</v>
      </c>
      <c r="E13" s="2">
        <v>0</v>
      </c>
      <c r="F13" s="2">
        <v>4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</row>
    <row r="14" spans="1:11" ht="22.5" customHeight="1" x14ac:dyDescent="0.25">
      <c r="A14" s="2" t="s">
        <v>31</v>
      </c>
      <c r="B14" s="3">
        <f>C14/B49 * 100</f>
        <v>77.464788732394368</v>
      </c>
      <c r="C14" s="2">
        <f t="shared" si="0"/>
        <v>55</v>
      </c>
      <c r="D14" s="2" t="b">
        <v>0</v>
      </c>
      <c r="E14" s="2">
        <v>0</v>
      </c>
      <c r="F14" s="2">
        <v>3</v>
      </c>
      <c r="G14" s="2">
        <v>5</v>
      </c>
      <c r="H14" s="2">
        <v>5</v>
      </c>
      <c r="I14" s="2">
        <v>4</v>
      </c>
      <c r="J14" s="2">
        <v>5</v>
      </c>
      <c r="K14" s="2">
        <v>5</v>
      </c>
    </row>
    <row r="15" spans="1:11" ht="22.5" customHeight="1" x14ac:dyDescent="0.25">
      <c r="A15" s="2" t="s">
        <v>32</v>
      </c>
      <c r="B15" s="3">
        <f>C15/B49 * 100</f>
        <v>78.873239436619713</v>
      </c>
      <c r="C15" s="2">
        <f t="shared" si="0"/>
        <v>56</v>
      </c>
      <c r="D15" s="2" t="b">
        <v>0</v>
      </c>
      <c r="E15" s="2">
        <v>0</v>
      </c>
      <c r="F15" s="2">
        <v>4</v>
      </c>
      <c r="G15" s="2">
        <v>5</v>
      </c>
      <c r="H15" s="2">
        <v>5</v>
      </c>
      <c r="I15" s="2">
        <v>4</v>
      </c>
      <c r="J15" s="2">
        <v>5</v>
      </c>
      <c r="K15" s="2">
        <v>5</v>
      </c>
    </row>
    <row r="16" spans="1:11" ht="22.5" customHeight="1" x14ac:dyDescent="0.25">
      <c r="A16" s="2" t="s">
        <v>33</v>
      </c>
      <c r="B16" s="3">
        <f>C16/B49 * 100</f>
        <v>78.873239436619713</v>
      </c>
      <c r="C16" s="2">
        <f t="shared" si="0"/>
        <v>56</v>
      </c>
      <c r="D16" s="2" t="b">
        <v>0</v>
      </c>
      <c r="E16" s="2">
        <v>0</v>
      </c>
      <c r="F16" s="2">
        <v>4</v>
      </c>
      <c r="G16" s="2">
        <v>5</v>
      </c>
      <c r="H16" s="2">
        <v>5</v>
      </c>
      <c r="I16" s="2">
        <v>4</v>
      </c>
      <c r="J16" s="2">
        <v>5</v>
      </c>
      <c r="K16" s="2">
        <v>5</v>
      </c>
    </row>
    <row r="17" spans="1:11" ht="22.5" customHeight="1" x14ac:dyDescent="0.25">
      <c r="A17" s="2" t="s">
        <v>34</v>
      </c>
      <c r="B17" s="3">
        <f>C17/B49 * 100</f>
        <v>78.873239436619713</v>
      </c>
      <c r="C17" s="2">
        <f t="shared" si="0"/>
        <v>56</v>
      </c>
      <c r="D17" s="2" t="b">
        <v>0</v>
      </c>
      <c r="E17" s="2">
        <v>0</v>
      </c>
      <c r="F17" s="2">
        <v>4</v>
      </c>
      <c r="G17" s="2">
        <v>5</v>
      </c>
      <c r="H17" s="2">
        <v>5</v>
      </c>
      <c r="I17" s="2">
        <v>4</v>
      </c>
      <c r="J17" s="2">
        <v>5</v>
      </c>
      <c r="K17" s="2">
        <v>5</v>
      </c>
    </row>
    <row r="18" spans="1:11" ht="22.5" customHeight="1" x14ac:dyDescent="0.25">
      <c r="A18" s="2" t="s">
        <v>35</v>
      </c>
      <c r="B18" s="3">
        <f>C18/B49 * 100</f>
        <v>78.873239436619713</v>
      </c>
      <c r="C18" s="2">
        <f t="shared" si="0"/>
        <v>56</v>
      </c>
      <c r="D18" s="2" t="b">
        <v>0</v>
      </c>
      <c r="E18" s="2">
        <v>0</v>
      </c>
      <c r="F18" s="2">
        <v>4</v>
      </c>
      <c r="G18" s="2">
        <v>5</v>
      </c>
      <c r="H18" s="2">
        <v>5</v>
      </c>
      <c r="I18" s="2">
        <v>4</v>
      </c>
      <c r="J18" s="2">
        <v>5</v>
      </c>
      <c r="K18" s="2">
        <v>5</v>
      </c>
    </row>
    <row r="19" spans="1:11" ht="22.5" customHeight="1" x14ac:dyDescent="0.25">
      <c r="A19" s="2" t="s">
        <v>36</v>
      </c>
      <c r="B19" s="3">
        <f>C19/B49 * 100</f>
        <v>78.873239436619713</v>
      </c>
      <c r="C19" s="2">
        <f t="shared" si="0"/>
        <v>56</v>
      </c>
      <c r="D19" s="2" t="b">
        <v>0</v>
      </c>
      <c r="E19" s="2">
        <v>0</v>
      </c>
      <c r="F19" s="2">
        <v>4</v>
      </c>
      <c r="G19" s="2">
        <v>5</v>
      </c>
      <c r="H19" s="2">
        <v>5</v>
      </c>
      <c r="I19" s="2">
        <v>4</v>
      </c>
      <c r="J19" s="2">
        <v>5</v>
      </c>
      <c r="K19" s="2">
        <v>5</v>
      </c>
    </row>
    <row r="20" spans="1:11" ht="22.5" customHeight="1" x14ac:dyDescent="0.25">
      <c r="A20" s="2" t="s">
        <v>37</v>
      </c>
      <c r="B20" s="3">
        <f>C20/B49 * 100</f>
        <v>83.098591549295776</v>
      </c>
      <c r="C20" s="2">
        <f t="shared" si="0"/>
        <v>59</v>
      </c>
      <c r="D20" s="2" t="b">
        <v>0</v>
      </c>
      <c r="E20" s="2">
        <v>0</v>
      </c>
      <c r="F20" s="2">
        <v>4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</row>
    <row r="21" spans="1:11" ht="22.5" customHeight="1" x14ac:dyDescent="0.25">
      <c r="A21" s="2" t="s">
        <v>38</v>
      </c>
      <c r="B21" s="3">
        <f>C21/B49 * 100</f>
        <v>83.098591549295776</v>
      </c>
      <c r="C21" s="2">
        <f t="shared" si="0"/>
        <v>59</v>
      </c>
      <c r="D21" s="2" t="b">
        <v>0</v>
      </c>
      <c r="E21" s="2">
        <v>0</v>
      </c>
      <c r="F21" s="2">
        <v>4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</row>
    <row r="22" spans="1:11" ht="22.5" customHeight="1" x14ac:dyDescent="0.25">
      <c r="A22" s="2" t="s">
        <v>39</v>
      </c>
      <c r="B22" s="3">
        <f>C22/B49 * 100</f>
        <v>83.098591549295776</v>
      </c>
      <c r="C22" s="2">
        <f t="shared" si="0"/>
        <v>59</v>
      </c>
      <c r="D22" s="2" t="b">
        <v>0</v>
      </c>
      <c r="E22" s="2">
        <v>0</v>
      </c>
      <c r="F22" s="2">
        <v>4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</row>
    <row r="23" spans="1:11" ht="22.5" customHeight="1" x14ac:dyDescent="0.25">
      <c r="A23" s="2" t="s">
        <v>40</v>
      </c>
      <c r="B23" s="3">
        <f>C23/B49 * 100</f>
        <v>83.098591549295776</v>
      </c>
      <c r="C23" s="2">
        <f t="shared" si="0"/>
        <v>59</v>
      </c>
      <c r="D23" s="2" t="b">
        <v>0</v>
      </c>
      <c r="E23" s="2">
        <v>0</v>
      </c>
      <c r="F23" s="2">
        <v>4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</row>
    <row r="24" spans="1:11" ht="22.5" customHeight="1" x14ac:dyDescent="0.25">
      <c r="A24" s="2" t="s">
        <v>41</v>
      </c>
      <c r="B24" s="3">
        <f>C24/B49 * 100</f>
        <v>83.098591549295776</v>
      </c>
      <c r="C24" s="2">
        <f t="shared" si="0"/>
        <v>59</v>
      </c>
      <c r="D24" s="2" t="b">
        <v>0</v>
      </c>
      <c r="E24" s="2">
        <v>0</v>
      </c>
      <c r="F24" s="2">
        <v>4</v>
      </c>
      <c r="G24" s="2">
        <v>5</v>
      </c>
      <c r="H24" s="2">
        <v>5</v>
      </c>
      <c r="I24" s="2">
        <v>5</v>
      </c>
      <c r="J24" s="2">
        <v>5</v>
      </c>
      <c r="K24" s="2">
        <v>5</v>
      </c>
    </row>
    <row r="25" spans="1:11" ht="22.5" customHeight="1" x14ac:dyDescent="0.25">
      <c r="A25" s="2" t="s">
        <v>42</v>
      </c>
      <c r="B25" s="3">
        <f>C25/B49 * 100</f>
        <v>78.873239436619713</v>
      </c>
      <c r="C25" s="2">
        <f t="shared" si="0"/>
        <v>56</v>
      </c>
      <c r="D25" s="2" t="b">
        <v>0</v>
      </c>
      <c r="E25" s="2">
        <v>0</v>
      </c>
      <c r="F25" s="2">
        <v>4</v>
      </c>
      <c r="G25" s="2">
        <v>5</v>
      </c>
      <c r="H25" s="2">
        <v>5</v>
      </c>
      <c r="I25" s="2">
        <v>5</v>
      </c>
      <c r="J25" s="2">
        <v>4</v>
      </c>
      <c r="K25" s="2">
        <v>5</v>
      </c>
    </row>
    <row r="26" spans="1:11" ht="22.5" customHeight="1" x14ac:dyDescent="0.25">
      <c r="A26" s="2" t="s">
        <v>43</v>
      </c>
      <c r="B26" s="3">
        <f>C26/B49 * 100</f>
        <v>98.591549295774655</v>
      </c>
      <c r="C26" s="2">
        <f t="shared" si="0"/>
        <v>70</v>
      </c>
      <c r="D26" s="2" t="b">
        <v>1</v>
      </c>
      <c r="E26" s="2">
        <v>5</v>
      </c>
      <c r="F26" s="2">
        <v>4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</row>
    <row r="27" spans="1:11" ht="22.5" customHeight="1" x14ac:dyDescent="0.25">
      <c r="A27" s="2" t="s">
        <v>44</v>
      </c>
      <c r="B27" s="3">
        <f>C27/B49 * 100</f>
        <v>98.591549295774655</v>
      </c>
      <c r="C27" s="2">
        <f t="shared" si="0"/>
        <v>70</v>
      </c>
      <c r="D27" s="2" t="b">
        <v>1</v>
      </c>
      <c r="E27" s="2">
        <v>5</v>
      </c>
      <c r="F27" s="2">
        <v>4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</row>
    <row r="28" spans="1:11" ht="22.5" customHeight="1" x14ac:dyDescent="0.25">
      <c r="A28" s="2" t="s">
        <v>45</v>
      </c>
      <c r="B28" s="3">
        <f>C28/B49 * 100</f>
        <v>91.549295774647888</v>
      </c>
      <c r="C28" s="2">
        <f t="shared" si="0"/>
        <v>65</v>
      </c>
      <c r="D28" s="2" t="b">
        <v>1</v>
      </c>
      <c r="E28" s="2">
        <v>4</v>
      </c>
      <c r="F28" s="2">
        <v>4</v>
      </c>
      <c r="G28" s="2">
        <v>5</v>
      </c>
      <c r="H28" s="2">
        <v>5</v>
      </c>
      <c r="I28" s="2">
        <v>4</v>
      </c>
      <c r="J28" s="2">
        <v>5</v>
      </c>
      <c r="K28" s="2">
        <v>5</v>
      </c>
    </row>
    <row r="29" spans="1:11" ht="22.5" customHeight="1" x14ac:dyDescent="0.25">
      <c r="A29" s="2" t="s">
        <v>46</v>
      </c>
      <c r="B29" s="3">
        <f>C29/B49 * 100</f>
        <v>78.873239436619713</v>
      </c>
      <c r="C29" s="2">
        <f t="shared" si="0"/>
        <v>56</v>
      </c>
      <c r="D29" s="2" t="b">
        <v>0</v>
      </c>
      <c r="E29" s="2">
        <v>0</v>
      </c>
      <c r="F29" s="2">
        <v>4</v>
      </c>
      <c r="G29" s="2">
        <v>5</v>
      </c>
      <c r="H29" s="2">
        <v>5</v>
      </c>
      <c r="I29" s="2">
        <v>4</v>
      </c>
      <c r="J29" s="2">
        <v>5</v>
      </c>
      <c r="K29" s="2">
        <v>5</v>
      </c>
    </row>
    <row r="30" spans="1:11" ht="22.5" customHeight="1" x14ac:dyDescent="0.25">
      <c r="A30" s="2" t="s">
        <v>47</v>
      </c>
      <c r="B30" s="3">
        <f>C30/B49 * 100</f>
        <v>83.098591549295776</v>
      </c>
      <c r="C30" s="2">
        <f t="shared" si="0"/>
        <v>59</v>
      </c>
      <c r="D30" s="2" t="b">
        <v>0</v>
      </c>
      <c r="E30" s="2">
        <v>0</v>
      </c>
      <c r="F30" s="2">
        <v>4</v>
      </c>
      <c r="G30" s="2">
        <v>5</v>
      </c>
      <c r="H30" s="2">
        <v>5</v>
      </c>
      <c r="I30" s="2">
        <v>5</v>
      </c>
      <c r="J30" s="2">
        <v>5</v>
      </c>
      <c r="K30" s="2">
        <v>5</v>
      </c>
    </row>
    <row r="31" spans="1:11" ht="22.5" customHeight="1" x14ac:dyDescent="0.25">
      <c r="A31" s="2" t="s">
        <v>48</v>
      </c>
      <c r="B31" s="3">
        <f>C31/B49 * 100</f>
        <v>78.873239436619713</v>
      </c>
      <c r="C31" s="2">
        <f t="shared" si="0"/>
        <v>56</v>
      </c>
      <c r="D31" s="2" t="b">
        <v>0</v>
      </c>
      <c r="E31" s="2">
        <v>0</v>
      </c>
      <c r="F31" s="2">
        <v>4</v>
      </c>
      <c r="G31" s="2">
        <v>5</v>
      </c>
      <c r="H31" s="2">
        <v>5</v>
      </c>
      <c r="I31" s="2">
        <v>4</v>
      </c>
      <c r="J31" s="2">
        <v>5</v>
      </c>
      <c r="K31" s="2">
        <v>5</v>
      </c>
    </row>
    <row r="32" spans="1:11" ht="22.5" customHeight="1" x14ac:dyDescent="0.25">
      <c r="A32" s="2" t="s">
        <v>49</v>
      </c>
      <c r="B32" s="3">
        <f>C32/B49 * 100</f>
        <v>94.366197183098592</v>
      </c>
      <c r="C32" s="2">
        <f t="shared" si="0"/>
        <v>67</v>
      </c>
      <c r="D32" s="2" t="b">
        <v>1</v>
      </c>
      <c r="E32" s="2">
        <v>5</v>
      </c>
      <c r="F32" s="2">
        <v>3</v>
      </c>
      <c r="G32" s="2">
        <v>4</v>
      </c>
      <c r="H32" s="2">
        <v>5</v>
      </c>
      <c r="I32" s="2">
        <v>5</v>
      </c>
      <c r="J32" s="2">
        <v>5</v>
      </c>
      <c r="K32" s="2">
        <v>5</v>
      </c>
    </row>
    <row r="33" spans="1:11" ht="22.5" customHeight="1" x14ac:dyDescent="0.25">
      <c r="A33" s="2" t="s">
        <v>50</v>
      </c>
      <c r="B33" s="3">
        <f>C33/B49 * 100</f>
        <v>98.591549295774655</v>
      </c>
      <c r="C33" s="2">
        <f t="shared" si="0"/>
        <v>70</v>
      </c>
      <c r="D33" s="2" t="b">
        <v>1</v>
      </c>
      <c r="E33" s="2">
        <v>5</v>
      </c>
      <c r="F33" s="2">
        <v>4</v>
      </c>
      <c r="G33" s="2">
        <v>5</v>
      </c>
      <c r="H33" s="2">
        <v>5</v>
      </c>
      <c r="I33" s="2">
        <v>5</v>
      </c>
      <c r="J33" s="2">
        <v>5</v>
      </c>
      <c r="K33" s="2">
        <v>5</v>
      </c>
    </row>
    <row r="34" spans="1:11" ht="22.5" customHeight="1" x14ac:dyDescent="0.25">
      <c r="A34" s="2" t="s">
        <v>51</v>
      </c>
      <c r="B34" s="3">
        <f>C34/B49 * 100</f>
        <v>98.591549295774655</v>
      </c>
      <c r="C34" s="2">
        <f t="shared" si="0"/>
        <v>70</v>
      </c>
      <c r="D34" s="2" t="b">
        <v>1</v>
      </c>
      <c r="E34" s="2">
        <v>5</v>
      </c>
      <c r="F34" s="2">
        <v>4</v>
      </c>
      <c r="G34" s="2">
        <v>5</v>
      </c>
      <c r="H34" s="2">
        <v>5</v>
      </c>
      <c r="I34" s="2">
        <v>5</v>
      </c>
      <c r="J34" s="2">
        <v>5</v>
      </c>
      <c r="K34" s="2">
        <v>5</v>
      </c>
    </row>
    <row r="35" spans="1:11" ht="22.5" customHeight="1" x14ac:dyDescent="0.25">
      <c r="A35" s="2" t="s">
        <v>52</v>
      </c>
      <c r="B35" s="3">
        <f>C35/B49 * 100</f>
        <v>98.591549295774655</v>
      </c>
      <c r="C35" s="2">
        <f t="shared" si="0"/>
        <v>70</v>
      </c>
      <c r="D35" s="2" t="b">
        <v>1</v>
      </c>
      <c r="E35" s="2">
        <v>5</v>
      </c>
      <c r="F35" s="2">
        <v>4</v>
      </c>
      <c r="G35" s="2">
        <v>5</v>
      </c>
      <c r="H35" s="2">
        <v>5</v>
      </c>
      <c r="I35" s="2">
        <v>5</v>
      </c>
      <c r="J35" s="2">
        <v>5</v>
      </c>
      <c r="K35" s="2">
        <v>5</v>
      </c>
    </row>
    <row r="36" spans="1:11" ht="22.5" customHeight="1" x14ac:dyDescent="0.25">
      <c r="A36" s="2" t="s">
        <v>53</v>
      </c>
      <c r="B36" s="3">
        <f>C36/B49 * 100</f>
        <v>92.957746478873233</v>
      </c>
      <c r="C36" s="2">
        <f t="shared" si="0"/>
        <v>66</v>
      </c>
      <c r="D36" s="2" t="b">
        <v>0</v>
      </c>
      <c r="E36" s="2">
        <v>5</v>
      </c>
      <c r="F36" s="2">
        <v>4</v>
      </c>
      <c r="G36" s="2">
        <v>5</v>
      </c>
      <c r="H36" s="2">
        <v>5</v>
      </c>
      <c r="I36" s="2">
        <v>4</v>
      </c>
      <c r="J36" s="2">
        <v>5</v>
      </c>
      <c r="K36" s="2">
        <v>5</v>
      </c>
    </row>
    <row r="37" spans="1:11" ht="22.5" customHeight="1" x14ac:dyDescent="0.25">
      <c r="A37" s="2" t="s">
        <v>54</v>
      </c>
      <c r="B37" s="3">
        <f>C37/B49 * 100</f>
        <v>97.183098591549296</v>
      </c>
      <c r="C37" s="2">
        <f t="shared" si="0"/>
        <v>69</v>
      </c>
      <c r="D37" s="2" t="b">
        <v>0</v>
      </c>
      <c r="E37" s="2">
        <v>5</v>
      </c>
      <c r="F37" s="2">
        <v>4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</row>
    <row r="38" spans="1:11" ht="22.5" customHeight="1" x14ac:dyDescent="0.25">
      <c r="A38" s="2" t="s">
        <v>55</v>
      </c>
      <c r="B38" s="3">
        <f>MEDIAN(Tabela[Nota Final (%)])</f>
        <v>83.098591549295776</v>
      </c>
      <c r="C38" s="2">
        <f>MEDIAN(Tabela[Pontos Totais (max 71)])</f>
        <v>59</v>
      </c>
      <c r="D38" s="2"/>
      <c r="E38" s="3">
        <f>AVERAGE(Tabela[o texo é legivel?])</f>
        <v>1.6388888888888888</v>
      </c>
      <c r="F38" s="2">
        <f>AVERAGE(Tabela[Resolução])</f>
        <v>3.9444444444444446</v>
      </c>
      <c r="G38" s="3">
        <f>AVERAGE(Tabela[Qualidade Visual])</f>
        <v>4.9722222222222223</v>
      </c>
      <c r="H38" s="2">
        <f>AVERAGE(Tabela[Enquadramento])</f>
        <v>5</v>
      </c>
      <c r="I38" s="3">
        <f>AVERAGE(Tabela[Alinhamento Prompt])</f>
        <v>4.4444444444444446</v>
      </c>
      <c r="J38" s="2">
        <f>MEDIAN(Tabela[Alucinações])</f>
        <v>5</v>
      </c>
      <c r="K38" s="2">
        <f>AVERAGE(Tabela[Tamanho Prompt])</f>
        <v>5</v>
      </c>
    </row>
    <row r="40" spans="1:11" ht="12.75" x14ac:dyDescent="0.2">
      <c r="J40" s="9" t="s">
        <v>59</v>
      </c>
    </row>
    <row r="49" spans="1:11" ht="12.75" x14ac:dyDescent="0.2">
      <c r="A49" s="10" t="s">
        <v>57</v>
      </c>
      <c r="B49" s="11">
        <f>1 + (5 * E49) + (5 * F49) + (5 * G49) + (5 * H49) + (5 * I49) + (5* J49) + (5* K49)</f>
        <v>71</v>
      </c>
      <c r="C49" s="10" t="s">
        <v>58</v>
      </c>
      <c r="D49" s="11">
        <v>1</v>
      </c>
      <c r="E49" s="11">
        <v>2</v>
      </c>
      <c r="F49" s="11">
        <v>1</v>
      </c>
      <c r="G49" s="11">
        <v>2</v>
      </c>
      <c r="H49" s="11">
        <v>1</v>
      </c>
      <c r="I49" s="11">
        <v>3</v>
      </c>
      <c r="J49" s="11">
        <v>3</v>
      </c>
      <c r="K49" s="11">
        <v>2</v>
      </c>
    </row>
    <row r="50" spans="1:11" ht="12.75" x14ac:dyDescent="0.2">
      <c r="D50" s="11">
        <v>1</v>
      </c>
      <c r="E50" s="11">
        <v>2</v>
      </c>
      <c r="F50" s="11">
        <v>1</v>
      </c>
      <c r="G50" s="11">
        <v>2</v>
      </c>
      <c r="H50" s="11">
        <v>1</v>
      </c>
      <c r="I50" s="11">
        <v>3</v>
      </c>
      <c r="J50" s="11">
        <v>3</v>
      </c>
      <c r="K50" s="11">
        <v>2</v>
      </c>
    </row>
    <row r="51" spans="1:11" ht="12.75" x14ac:dyDescent="0.2">
      <c r="D51" s="11">
        <v>1</v>
      </c>
      <c r="E51" s="11">
        <v>2</v>
      </c>
      <c r="F51" s="11">
        <v>1</v>
      </c>
      <c r="G51" s="11">
        <v>2</v>
      </c>
      <c r="H51" s="11">
        <v>1</v>
      </c>
      <c r="I51" s="11">
        <v>3</v>
      </c>
      <c r="J51" s="11">
        <v>3</v>
      </c>
      <c r="K51" s="11">
        <v>2</v>
      </c>
    </row>
    <row r="52" spans="1:11" ht="12.75" x14ac:dyDescent="0.2">
      <c r="D52" s="11">
        <v>1</v>
      </c>
      <c r="E52" s="11">
        <v>2</v>
      </c>
      <c r="F52" s="11">
        <v>1</v>
      </c>
      <c r="G52" s="11">
        <v>2</v>
      </c>
      <c r="H52" s="11">
        <v>1</v>
      </c>
      <c r="I52" s="11">
        <v>3</v>
      </c>
      <c r="J52" s="11">
        <v>3</v>
      </c>
      <c r="K52" s="11">
        <v>2</v>
      </c>
    </row>
    <row r="53" spans="1:11" ht="12.75" x14ac:dyDescent="0.2">
      <c r="D53" s="11">
        <v>1</v>
      </c>
      <c r="E53" s="11">
        <v>2</v>
      </c>
      <c r="F53" s="11">
        <v>1</v>
      </c>
      <c r="G53" s="11">
        <v>2</v>
      </c>
      <c r="H53" s="11">
        <v>1</v>
      </c>
      <c r="I53" s="11">
        <v>3</v>
      </c>
      <c r="J53" s="11">
        <v>3</v>
      </c>
      <c r="K53" s="11">
        <v>2</v>
      </c>
    </row>
    <row r="54" spans="1:11" ht="12.75" x14ac:dyDescent="0.2">
      <c r="D54" s="11">
        <v>1</v>
      </c>
      <c r="E54" s="11">
        <v>2</v>
      </c>
      <c r="F54" s="11">
        <v>1</v>
      </c>
      <c r="G54" s="11">
        <v>2</v>
      </c>
      <c r="H54" s="11">
        <v>1</v>
      </c>
      <c r="I54" s="11">
        <v>3</v>
      </c>
      <c r="J54" s="11">
        <v>3</v>
      </c>
      <c r="K54" s="11">
        <v>2</v>
      </c>
    </row>
    <row r="55" spans="1:11" ht="12.75" x14ac:dyDescent="0.2">
      <c r="D55" s="11">
        <v>1</v>
      </c>
      <c r="E55" s="11">
        <v>2</v>
      </c>
      <c r="F55" s="11">
        <v>1</v>
      </c>
      <c r="G55" s="11">
        <v>2</v>
      </c>
      <c r="H55" s="11">
        <v>1</v>
      </c>
      <c r="I55" s="11">
        <v>3</v>
      </c>
      <c r="J55" s="11">
        <v>3</v>
      </c>
      <c r="K55" s="11">
        <v>2</v>
      </c>
    </row>
    <row r="56" spans="1:11" ht="12.75" x14ac:dyDescent="0.2">
      <c r="D56" s="11">
        <v>1</v>
      </c>
      <c r="E56" s="11">
        <v>2</v>
      </c>
      <c r="F56" s="11">
        <v>1</v>
      </c>
      <c r="G56" s="11">
        <v>2</v>
      </c>
      <c r="H56" s="11">
        <v>1</v>
      </c>
      <c r="I56" s="11">
        <v>3</v>
      </c>
      <c r="J56" s="11">
        <v>3</v>
      </c>
      <c r="K56" s="11">
        <v>2</v>
      </c>
    </row>
    <row r="57" spans="1:11" ht="12.75" x14ac:dyDescent="0.2">
      <c r="D57" s="11">
        <v>1</v>
      </c>
      <c r="E57" s="11">
        <v>2</v>
      </c>
      <c r="F57" s="11">
        <v>1</v>
      </c>
      <c r="G57" s="11">
        <v>2</v>
      </c>
      <c r="H57" s="11">
        <v>1</v>
      </c>
      <c r="I57" s="11">
        <v>3</v>
      </c>
      <c r="J57" s="11">
        <v>3</v>
      </c>
      <c r="K57" s="11">
        <v>2</v>
      </c>
    </row>
    <row r="58" spans="1:11" ht="12.75" x14ac:dyDescent="0.2">
      <c r="D58" s="11">
        <v>1</v>
      </c>
      <c r="E58" s="11">
        <v>2</v>
      </c>
      <c r="F58" s="11">
        <v>1</v>
      </c>
      <c r="G58" s="11">
        <v>2</v>
      </c>
      <c r="H58" s="11">
        <v>1</v>
      </c>
      <c r="I58" s="11">
        <v>3</v>
      </c>
      <c r="J58" s="11">
        <v>3</v>
      </c>
      <c r="K58" s="11">
        <v>2</v>
      </c>
    </row>
    <row r="59" spans="1:11" ht="12.75" x14ac:dyDescent="0.2">
      <c r="D59" s="11">
        <v>1</v>
      </c>
      <c r="E59" s="11">
        <v>2</v>
      </c>
      <c r="F59" s="11">
        <v>1</v>
      </c>
      <c r="G59" s="11">
        <v>2</v>
      </c>
      <c r="H59" s="11">
        <v>1</v>
      </c>
      <c r="I59" s="11">
        <v>3</v>
      </c>
      <c r="J59" s="11">
        <v>3</v>
      </c>
      <c r="K59" s="11">
        <v>2</v>
      </c>
    </row>
    <row r="60" spans="1:11" ht="12.75" x14ac:dyDescent="0.2">
      <c r="D60" s="11">
        <v>1</v>
      </c>
      <c r="E60" s="11">
        <v>2</v>
      </c>
      <c r="F60" s="11">
        <v>1</v>
      </c>
      <c r="G60" s="11">
        <v>2</v>
      </c>
      <c r="H60" s="11">
        <v>1</v>
      </c>
      <c r="I60" s="11">
        <v>3</v>
      </c>
      <c r="J60" s="11">
        <v>3</v>
      </c>
      <c r="K60" s="11">
        <v>2</v>
      </c>
    </row>
    <row r="61" spans="1:11" ht="12.75" x14ac:dyDescent="0.2">
      <c r="D61" s="11">
        <v>1</v>
      </c>
      <c r="E61" s="11">
        <v>2</v>
      </c>
      <c r="F61" s="11">
        <v>1</v>
      </c>
      <c r="G61" s="11">
        <v>2</v>
      </c>
      <c r="H61" s="11">
        <v>1</v>
      </c>
      <c r="I61" s="11">
        <v>3</v>
      </c>
      <c r="J61" s="11">
        <v>3</v>
      </c>
      <c r="K61" s="11">
        <v>2</v>
      </c>
    </row>
    <row r="62" spans="1:11" ht="12.75" x14ac:dyDescent="0.2">
      <c r="D62" s="11">
        <v>1</v>
      </c>
      <c r="E62" s="11">
        <v>2</v>
      </c>
      <c r="F62" s="11">
        <v>1</v>
      </c>
      <c r="G62" s="11">
        <v>2</v>
      </c>
      <c r="H62" s="11">
        <v>1</v>
      </c>
      <c r="I62" s="11">
        <v>3</v>
      </c>
      <c r="J62" s="11">
        <v>3</v>
      </c>
      <c r="K62" s="11">
        <v>2</v>
      </c>
    </row>
    <row r="63" spans="1:11" ht="12.75" x14ac:dyDescent="0.2">
      <c r="D63" s="11">
        <v>1</v>
      </c>
      <c r="E63" s="11">
        <v>2</v>
      </c>
      <c r="F63" s="11">
        <v>1</v>
      </c>
      <c r="G63" s="11">
        <v>2</v>
      </c>
      <c r="H63" s="11">
        <v>1</v>
      </c>
      <c r="I63" s="11">
        <v>3</v>
      </c>
      <c r="J63" s="11">
        <v>3</v>
      </c>
      <c r="K63" s="11">
        <v>2</v>
      </c>
    </row>
    <row r="64" spans="1:11" ht="12.75" x14ac:dyDescent="0.2">
      <c r="D64" s="11">
        <v>1</v>
      </c>
      <c r="E64" s="11">
        <v>2</v>
      </c>
      <c r="F64" s="11">
        <v>1</v>
      </c>
      <c r="G64" s="11">
        <v>2</v>
      </c>
      <c r="H64" s="11">
        <v>1</v>
      </c>
      <c r="I64" s="11">
        <v>3</v>
      </c>
      <c r="J64" s="11">
        <v>3</v>
      </c>
      <c r="K64" s="11">
        <v>2</v>
      </c>
    </row>
    <row r="65" spans="4:11" ht="12.75" x14ac:dyDescent="0.2">
      <c r="D65" s="11">
        <v>1</v>
      </c>
      <c r="E65" s="11">
        <v>2</v>
      </c>
      <c r="F65" s="11">
        <v>1</v>
      </c>
      <c r="G65" s="11">
        <v>2</v>
      </c>
      <c r="H65" s="11">
        <v>1</v>
      </c>
      <c r="I65" s="11">
        <v>3</v>
      </c>
      <c r="J65" s="11">
        <v>3</v>
      </c>
      <c r="K65" s="11">
        <v>2</v>
      </c>
    </row>
    <row r="66" spans="4:11" ht="12.75" x14ac:dyDescent="0.2">
      <c r="D66" s="11">
        <v>1</v>
      </c>
      <c r="E66" s="11">
        <v>2</v>
      </c>
      <c r="F66" s="11">
        <v>1</v>
      </c>
      <c r="G66" s="11">
        <v>2</v>
      </c>
      <c r="H66" s="11">
        <v>1</v>
      </c>
      <c r="I66" s="11">
        <v>3</v>
      </c>
      <c r="J66" s="11">
        <v>3</v>
      </c>
      <c r="K66" s="11">
        <v>2</v>
      </c>
    </row>
    <row r="67" spans="4:11" ht="12.75" x14ac:dyDescent="0.2">
      <c r="D67" s="11">
        <v>1</v>
      </c>
      <c r="E67" s="11">
        <v>2</v>
      </c>
      <c r="F67" s="11">
        <v>1</v>
      </c>
      <c r="G67" s="11">
        <v>2</v>
      </c>
      <c r="H67" s="11">
        <v>1</v>
      </c>
      <c r="I67" s="11">
        <v>3</v>
      </c>
      <c r="J67" s="11">
        <v>3</v>
      </c>
      <c r="K67" s="11">
        <v>2</v>
      </c>
    </row>
    <row r="68" spans="4:11" ht="12.75" x14ac:dyDescent="0.2">
      <c r="D68" s="11">
        <v>1</v>
      </c>
      <c r="E68" s="11">
        <v>2</v>
      </c>
      <c r="F68" s="11">
        <v>1</v>
      </c>
      <c r="G68" s="11">
        <v>2</v>
      </c>
      <c r="H68" s="11">
        <v>1</v>
      </c>
      <c r="I68" s="11">
        <v>3</v>
      </c>
      <c r="J68" s="11">
        <v>3</v>
      </c>
      <c r="K68" s="11">
        <v>2</v>
      </c>
    </row>
    <row r="69" spans="4:11" ht="12.75" x14ac:dyDescent="0.2">
      <c r="D69" s="11">
        <v>1</v>
      </c>
      <c r="E69" s="11">
        <v>2</v>
      </c>
      <c r="F69" s="11">
        <v>1</v>
      </c>
      <c r="G69" s="11">
        <v>2</v>
      </c>
      <c r="H69" s="11">
        <v>1</v>
      </c>
      <c r="I69" s="11">
        <v>3</v>
      </c>
      <c r="J69" s="11">
        <v>3</v>
      </c>
      <c r="K69" s="11">
        <v>2</v>
      </c>
    </row>
    <row r="70" spans="4:11" ht="12.75" x14ac:dyDescent="0.2">
      <c r="D70" s="11">
        <v>1</v>
      </c>
      <c r="E70" s="11">
        <v>2</v>
      </c>
      <c r="F70" s="11">
        <v>1</v>
      </c>
      <c r="G70" s="11">
        <v>2</v>
      </c>
      <c r="H70" s="11">
        <v>1</v>
      </c>
      <c r="I70" s="11">
        <v>3</v>
      </c>
      <c r="J70" s="11">
        <v>3</v>
      </c>
      <c r="K70" s="11">
        <v>2</v>
      </c>
    </row>
    <row r="71" spans="4:11" ht="12.75" x14ac:dyDescent="0.2">
      <c r="D71" s="11">
        <v>1</v>
      </c>
      <c r="E71" s="11">
        <v>2</v>
      </c>
      <c r="F71" s="11">
        <v>1</v>
      </c>
      <c r="G71" s="11">
        <v>2</v>
      </c>
      <c r="H71" s="11">
        <v>1</v>
      </c>
      <c r="I71" s="11">
        <v>3</v>
      </c>
      <c r="J71" s="11">
        <v>3</v>
      </c>
      <c r="K71" s="11">
        <v>2</v>
      </c>
    </row>
    <row r="72" spans="4:11" ht="12.75" x14ac:dyDescent="0.2">
      <c r="D72" s="11">
        <v>1</v>
      </c>
      <c r="E72" s="11">
        <v>2</v>
      </c>
      <c r="F72" s="11">
        <v>1</v>
      </c>
      <c r="G72" s="11">
        <v>2</v>
      </c>
      <c r="H72" s="11">
        <v>1</v>
      </c>
      <c r="I72" s="11">
        <v>3</v>
      </c>
      <c r="J72" s="11">
        <v>3</v>
      </c>
      <c r="K72" s="11">
        <v>2</v>
      </c>
    </row>
    <row r="73" spans="4:11" ht="12.75" x14ac:dyDescent="0.2">
      <c r="D73" s="11">
        <v>1</v>
      </c>
      <c r="E73" s="11">
        <v>2</v>
      </c>
      <c r="F73" s="11">
        <v>1</v>
      </c>
      <c r="G73" s="11">
        <v>2</v>
      </c>
      <c r="H73" s="11">
        <v>1</v>
      </c>
      <c r="I73" s="11">
        <v>3</v>
      </c>
      <c r="J73" s="11">
        <v>3</v>
      </c>
      <c r="K73" s="11">
        <v>2</v>
      </c>
    </row>
    <row r="74" spans="4:11" ht="12.75" x14ac:dyDescent="0.2">
      <c r="D74" s="11">
        <v>1</v>
      </c>
      <c r="E74" s="11">
        <v>2</v>
      </c>
      <c r="F74" s="11">
        <v>1</v>
      </c>
      <c r="G74" s="11">
        <v>2</v>
      </c>
      <c r="H74" s="11">
        <v>1</v>
      </c>
      <c r="I74" s="11">
        <v>3</v>
      </c>
      <c r="J74" s="11">
        <v>3</v>
      </c>
      <c r="K74" s="11">
        <v>2</v>
      </c>
    </row>
    <row r="75" spans="4:11" ht="12.75" x14ac:dyDescent="0.2">
      <c r="D75" s="11">
        <v>1</v>
      </c>
      <c r="E75" s="11">
        <v>2</v>
      </c>
      <c r="F75" s="11">
        <v>1</v>
      </c>
      <c r="G75" s="11">
        <v>2</v>
      </c>
      <c r="H75" s="11">
        <v>1</v>
      </c>
      <c r="I75" s="11">
        <v>3</v>
      </c>
      <c r="J75" s="11">
        <v>3</v>
      </c>
      <c r="K75" s="11">
        <v>2</v>
      </c>
    </row>
    <row r="76" spans="4:11" ht="12.75" x14ac:dyDescent="0.2">
      <c r="D76" s="11">
        <v>1</v>
      </c>
      <c r="E76" s="11">
        <v>2</v>
      </c>
      <c r="F76" s="11">
        <v>1</v>
      </c>
      <c r="G76" s="11">
        <v>2</v>
      </c>
      <c r="H76" s="11">
        <v>1</v>
      </c>
      <c r="I76" s="11">
        <v>3</v>
      </c>
      <c r="J76" s="11">
        <v>3</v>
      </c>
      <c r="K76" s="11">
        <v>2</v>
      </c>
    </row>
    <row r="77" spans="4:11" ht="12.75" x14ac:dyDescent="0.2">
      <c r="D77" s="11">
        <v>1</v>
      </c>
      <c r="E77" s="11">
        <v>2</v>
      </c>
      <c r="F77" s="11">
        <v>1</v>
      </c>
      <c r="G77" s="11">
        <v>2</v>
      </c>
      <c r="H77" s="11">
        <v>1</v>
      </c>
      <c r="I77" s="11">
        <v>3</v>
      </c>
      <c r="J77" s="11">
        <v>3</v>
      </c>
      <c r="K77" s="11">
        <v>2</v>
      </c>
    </row>
    <row r="78" spans="4:11" ht="12.75" x14ac:dyDescent="0.2">
      <c r="D78" s="11">
        <v>1</v>
      </c>
      <c r="E78" s="11">
        <v>2</v>
      </c>
      <c r="F78" s="11">
        <v>1</v>
      </c>
      <c r="G78" s="11">
        <v>2</v>
      </c>
      <c r="H78" s="11">
        <v>1</v>
      </c>
      <c r="I78" s="11">
        <v>3</v>
      </c>
      <c r="J78" s="11">
        <v>3</v>
      </c>
      <c r="K78" s="11">
        <v>2</v>
      </c>
    </row>
    <row r="79" spans="4:11" ht="12.75" x14ac:dyDescent="0.2">
      <c r="D79" s="11">
        <v>1</v>
      </c>
      <c r="E79" s="11">
        <v>2</v>
      </c>
      <c r="F79" s="11">
        <v>1</v>
      </c>
      <c r="G79" s="11">
        <v>2</v>
      </c>
      <c r="H79" s="11">
        <v>1</v>
      </c>
      <c r="I79" s="11">
        <v>3</v>
      </c>
      <c r="J79" s="11">
        <v>3</v>
      </c>
      <c r="K79" s="11">
        <v>2</v>
      </c>
    </row>
    <row r="80" spans="4:11" ht="12.75" x14ac:dyDescent="0.2">
      <c r="D80" s="11">
        <v>1</v>
      </c>
      <c r="E80" s="11">
        <v>2</v>
      </c>
      <c r="F80" s="11">
        <v>1</v>
      </c>
      <c r="G80" s="11">
        <v>2</v>
      </c>
      <c r="H80" s="11">
        <v>1</v>
      </c>
      <c r="I80" s="11">
        <v>3</v>
      </c>
      <c r="J80" s="11">
        <v>3</v>
      </c>
      <c r="K80" s="11">
        <v>2</v>
      </c>
    </row>
    <row r="81" spans="4:11" ht="12.75" x14ac:dyDescent="0.2">
      <c r="D81" s="11">
        <v>1</v>
      </c>
      <c r="E81" s="11">
        <v>2</v>
      </c>
      <c r="F81" s="11">
        <v>1</v>
      </c>
      <c r="G81" s="11">
        <v>2</v>
      </c>
      <c r="H81" s="11">
        <v>1</v>
      </c>
      <c r="I81" s="11">
        <v>3</v>
      </c>
      <c r="J81" s="11">
        <v>3</v>
      </c>
      <c r="K81" s="11">
        <v>2</v>
      </c>
    </row>
    <row r="82" spans="4:11" ht="12.75" x14ac:dyDescent="0.2">
      <c r="D82" s="11">
        <v>1</v>
      </c>
      <c r="E82" s="11">
        <v>2</v>
      </c>
      <c r="F82" s="11">
        <v>1</v>
      </c>
      <c r="G82" s="11">
        <v>2</v>
      </c>
      <c r="H82" s="11">
        <v>1</v>
      </c>
      <c r="I82" s="11">
        <v>3</v>
      </c>
      <c r="J82" s="11">
        <v>3</v>
      </c>
      <c r="K82" s="11">
        <v>2</v>
      </c>
    </row>
    <row r="83" spans="4:11" ht="12.75" x14ac:dyDescent="0.2">
      <c r="D83" s="11">
        <v>1</v>
      </c>
      <c r="E83" s="11">
        <v>2</v>
      </c>
      <c r="F83" s="11">
        <v>1</v>
      </c>
      <c r="G83" s="11">
        <v>2</v>
      </c>
      <c r="H83" s="11">
        <v>1</v>
      </c>
      <c r="I83" s="11">
        <v>3</v>
      </c>
      <c r="J83" s="11">
        <v>3</v>
      </c>
      <c r="K83" s="11">
        <v>2</v>
      </c>
    </row>
    <row r="84" spans="4:11" ht="12.75" x14ac:dyDescent="0.2">
      <c r="D84" s="11">
        <v>1</v>
      </c>
      <c r="E84" s="11">
        <v>2</v>
      </c>
      <c r="F84" s="11">
        <v>1</v>
      </c>
      <c r="G84" s="11">
        <v>2</v>
      </c>
      <c r="H84" s="11">
        <v>1</v>
      </c>
      <c r="I84" s="11">
        <v>3</v>
      </c>
      <c r="J84" s="11">
        <v>3</v>
      </c>
      <c r="K84" s="11">
        <v>2</v>
      </c>
    </row>
    <row r="85" spans="4:11" ht="12.75" x14ac:dyDescent="0.2">
      <c r="D85" s="11">
        <v>1</v>
      </c>
      <c r="E85" s="11">
        <v>2</v>
      </c>
      <c r="F85" s="11">
        <v>1</v>
      </c>
      <c r="G85" s="11">
        <v>2</v>
      </c>
      <c r="H85" s="11">
        <v>1</v>
      </c>
      <c r="I85" s="11">
        <v>3</v>
      </c>
      <c r="J85" s="11">
        <v>3</v>
      </c>
      <c r="K85" s="11">
        <v>2</v>
      </c>
    </row>
    <row r="86" spans="4:11" ht="12.75" x14ac:dyDescent="0.2">
      <c r="D86" s="11">
        <v>1</v>
      </c>
      <c r="E86" s="11">
        <v>2</v>
      </c>
      <c r="F86" s="11">
        <v>1</v>
      </c>
      <c r="G86" s="11">
        <v>2</v>
      </c>
      <c r="H86" s="11">
        <v>1</v>
      </c>
      <c r="I86" s="11">
        <v>3</v>
      </c>
      <c r="J86" s="11">
        <v>3</v>
      </c>
      <c r="K86" s="11">
        <v>2</v>
      </c>
    </row>
    <row r="87" spans="4:11" ht="12.75" x14ac:dyDescent="0.2">
      <c r="D87" s="11">
        <v>1</v>
      </c>
      <c r="E87" s="11">
        <v>2</v>
      </c>
      <c r="F87" s="11">
        <v>1</v>
      </c>
      <c r="G87" s="11">
        <v>2</v>
      </c>
      <c r="H87" s="11">
        <v>1</v>
      </c>
      <c r="I87" s="11">
        <v>3</v>
      </c>
      <c r="J87" s="11">
        <v>3</v>
      </c>
      <c r="K87" s="11">
        <v>2</v>
      </c>
    </row>
    <row r="88" spans="4:11" ht="12.75" x14ac:dyDescent="0.2">
      <c r="D88" s="11">
        <v>1</v>
      </c>
      <c r="E88" s="11">
        <v>2</v>
      </c>
      <c r="F88" s="11">
        <v>1</v>
      </c>
      <c r="G88" s="11">
        <v>2</v>
      </c>
      <c r="H88" s="11">
        <v>1</v>
      </c>
      <c r="I88" s="11">
        <v>3</v>
      </c>
      <c r="J88" s="11">
        <v>3</v>
      </c>
      <c r="K88" s="11">
        <v>2</v>
      </c>
    </row>
    <row r="89" spans="4:11" ht="12.75" x14ac:dyDescent="0.2">
      <c r="D89" s="11">
        <v>1</v>
      </c>
      <c r="E89" s="11">
        <v>2</v>
      </c>
      <c r="F89" s="11">
        <v>1</v>
      </c>
      <c r="G89" s="11">
        <v>2</v>
      </c>
      <c r="H89" s="11">
        <v>1</v>
      </c>
      <c r="I89" s="11">
        <v>3</v>
      </c>
      <c r="J89" s="11">
        <v>3</v>
      </c>
      <c r="K89" s="11">
        <v>2</v>
      </c>
    </row>
    <row r="90" spans="4:11" ht="12.75" x14ac:dyDescent="0.2">
      <c r="D90" s="11">
        <v>1</v>
      </c>
      <c r="E90" s="11">
        <v>2</v>
      </c>
      <c r="F90" s="11">
        <v>1</v>
      </c>
      <c r="G90" s="11">
        <v>2</v>
      </c>
      <c r="H90" s="11">
        <v>1</v>
      </c>
      <c r="I90" s="11">
        <v>3</v>
      </c>
      <c r="J90" s="11">
        <v>3</v>
      </c>
      <c r="K90" s="11">
        <v>2</v>
      </c>
    </row>
    <row r="91" spans="4:11" ht="12.75" x14ac:dyDescent="0.2">
      <c r="D91" s="11">
        <v>1</v>
      </c>
      <c r="E91" s="11">
        <v>2</v>
      </c>
      <c r="F91" s="11">
        <v>1</v>
      </c>
      <c r="G91" s="11">
        <v>2</v>
      </c>
      <c r="H91" s="11">
        <v>1</v>
      </c>
      <c r="I91" s="11">
        <v>3</v>
      </c>
      <c r="J91" s="11">
        <v>3</v>
      </c>
      <c r="K91" s="11">
        <v>2</v>
      </c>
    </row>
    <row r="92" spans="4:11" ht="12.75" x14ac:dyDescent="0.2">
      <c r="D92" s="11">
        <v>1</v>
      </c>
      <c r="E92" s="11">
        <v>2</v>
      </c>
      <c r="F92" s="11">
        <v>1</v>
      </c>
      <c r="G92" s="11">
        <v>2</v>
      </c>
      <c r="H92" s="11">
        <v>1</v>
      </c>
      <c r="I92" s="11">
        <v>3</v>
      </c>
      <c r="J92" s="11">
        <v>3</v>
      </c>
      <c r="K92" s="11">
        <v>2</v>
      </c>
    </row>
    <row r="93" spans="4:11" ht="12.75" x14ac:dyDescent="0.2">
      <c r="D93" s="11">
        <v>1</v>
      </c>
      <c r="E93" s="11">
        <v>2</v>
      </c>
      <c r="F93" s="11">
        <v>1</v>
      </c>
      <c r="G93" s="11">
        <v>2</v>
      </c>
      <c r="H93" s="11">
        <v>1</v>
      </c>
      <c r="I93" s="11">
        <v>3</v>
      </c>
      <c r="J93" s="11">
        <v>3</v>
      </c>
      <c r="K93" s="11">
        <v>2</v>
      </c>
    </row>
    <row r="94" spans="4:11" ht="12.75" x14ac:dyDescent="0.2">
      <c r="D94" s="11">
        <v>1</v>
      </c>
      <c r="E94" s="11">
        <v>2</v>
      </c>
      <c r="F94" s="11">
        <v>1</v>
      </c>
      <c r="G94" s="11">
        <v>2</v>
      </c>
      <c r="H94" s="11">
        <v>1</v>
      </c>
      <c r="I94" s="11">
        <v>3</v>
      </c>
      <c r="J94" s="11">
        <v>3</v>
      </c>
      <c r="K94" s="11">
        <v>2</v>
      </c>
    </row>
    <row r="95" spans="4:11" ht="12.75" x14ac:dyDescent="0.2">
      <c r="D95" s="11">
        <v>1</v>
      </c>
      <c r="E95" s="11">
        <v>2</v>
      </c>
      <c r="F95" s="11">
        <v>1</v>
      </c>
      <c r="G95" s="11">
        <v>2</v>
      </c>
      <c r="H95" s="11">
        <v>1</v>
      </c>
      <c r="I95" s="11">
        <v>3</v>
      </c>
      <c r="J95" s="11">
        <v>3</v>
      </c>
      <c r="K95" s="11">
        <v>2</v>
      </c>
    </row>
    <row r="96" spans="4:11" ht="12.75" x14ac:dyDescent="0.2">
      <c r="D96" s="11">
        <v>1</v>
      </c>
      <c r="E96" s="11">
        <v>2</v>
      </c>
      <c r="F96" s="11">
        <v>1</v>
      </c>
      <c r="G96" s="11">
        <v>2</v>
      </c>
      <c r="H96" s="11">
        <v>1</v>
      </c>
      <c r="I96" s="11">
        <v>3</v>
      </c>
      <c r="J96" s="11">
        <v>3</v>
      </c>
      <c r="K96" s="11">
        <v>2</v>
      </c>
    </row>
    <row r="97" spans="4:11" ht="12.75" x14ac:dyDescent="0.2">
      <c r="D97" s="11">
        <v>1</v>
      </c>
      <c r="E97" s="11">
        <v>2</v>
      </c>
      <c r="F97" s="11">
        <v>1</v>
      </c>
      <c r="G97" s="11">
        <v>2</v>
      </c>
      <c r="H97" s="11">
        <v>1</v>
      </c>
      <c r="I97" s="11">
        <v>3</v>
      </c>
      <c r="J97" s="11">
        <v>3</v>
      </c>
      <c r="K97" s="11">
        <v>2</v>
      </c>
    </row>
    <row r="98" spans="4:11" ht="12.75" x14ac:dyDescent="0.2">
      <c r="D98" s="11">
        <v>1</v>
      </c>
      <c r="E98" s="11">
        <v>2</v>
      </c>
      <c r="F98" s="11">
        <v>1</v>
      </c>
      <c r="G98" s="11">
        <v>2</v>
      </c>
      <c r="H98" s="11">
        <v>1</v>
      </c>
      <c r="I98" s="11">
        <v>3</v>
      </c>
      <c r="J98" s="11">
        <v>3</v>
      </c>
      <c r="K98" s="11">
        <v>2</v>
      </c>
    </row>
  </sheetData>
  <dataValidations count="2">
    <dataValidation type="list" allowBlank="1" sqref="D2:D37" xr:uid="{00000000-0002-0000-0200-000000000000}">
      <formula1>"True,False"</formula1>
    </dataValidation>
    <dataValidation type="custom" allowBlank="1" showDropDown="1" sqref="B2:C37 E2:K37" xr:uid="{00000000-0002-0000-02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7.5703125" customWidth="1"/>
    <col min="2" max="2" width="16.85546875" customWidth="1"/>
    <col min="3" max="3" width="25.42578125" customWidth="1"/>
    <col min="4" max="4" width="17.140625" customWidth="1"/>
    <col min="5" max="5" width="22.28515625" customWidth="1"/>
    <col min="6" max="6" width="17" customWidth="1"/>
    <col min="7" max="7" width="22.42578125" customWidth="1"/>
    <col min="8" max="8" width="21.85546875" customWidth="1"/>
    <col min="9" max="9" width="25.7109375" customWidth="1"/>
    <col min="10" max="10" width="16.140625" customWidth="1"/>
    <col min="11" max="11" width="22.7109375" customWidth="1"/>
    <col min="12" max="23" width="13.85546875" customWidth="1"/>
  </cols>
  <sheetData>
    <row r="1" spans="1:11" ht="22.5" customHeight="1" x14ac:dyDescent="0.25">
      <c r="A1" s="1" t="s">
        <v>17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2" t="s">
        <v>19</v>
      </c>
      <c r="B2" s="3">
        <f>C2/B49 * 100</f>
        <v>95.774647887323937</v>
      </c>
      <c r="C2" s="2">
        <f t="shared" ref="C2:C37" si="0">IF(D2, 1, 0) + (E2 * E49) + (F2 * F49) + (G2 * G49) + (H2 * H49) + (I2 * I49) + (J2 * J49) + (K2 * K49)</f>
        <v>68</v>
      </c>
      <c r="D2" s="2" t="b">
        <v>1</v>
      </c>
      <c r="E2" s="2">
        <v>5</v>
      </c>
      <c r="F2" s="2">
        <v>4</v>
      </c>
      <c r="G2" s="2">
        <v>5</v>
      </c>
      <c r="H2" s="2">
        <v>5</v>
      </c>
      <c r="I2" s="2">
        <v>5</v>
      </c>
      <c r="J2" s="2">
        <v>5</v>
      </c>
      <c r="K2" s="2">
        <v>4</v>
      </c>
    </row>
    <row r="3" spans="1:11" ht="22.5" customHeight="1" x14ac:dyDescent="0.25">
      <c r="A3" s="2" t="s">
        <v>20</v>
      </c>
      <c r="B3" s="3">
        <f>C3/B49 * 100</f>
        <v>91.549295774647888</v>
      </c>
      <c r="C3" s="2">
        <f t="shared" si="0"/>
        <v>65</v>
      </c>
      <c r="D3" s="2" t="b">
        <v>1</v>
      </c>
      <c r="E3" s="2">
        <v>5</v>
      </c>
      <c r="F3" s="2">
        <v>4</v>
      </c>
      <c r="G3" s="2">
        <v>5</v>
      </c>
      <c r="H3" s="2">
        <v>5</v>
      </c>
      <c r="I3" s="2">
        <v>5</v>
      </c>
      <c r="J3" s="2">
        <v>4</v>
      </c>
      <c r="K3" s="2">
        <v>4</v>
      </c>
    </row>
    <row r="4" spans="1:11" ht="22.5" customHeight="1" x14ac:dyDescent="0.25">
      <c r="A4" s="2" t="s">
        <v>21</v>
      </c>
      <c r="B4" s="3">
        <f>C4/B49 * 100</f>
        <v>91.549295774647888</v>
      </c>
      <c r="C4" s="2">
        <f t="shared" si="0"/>
        <v>65</v>
      </c>
      <c r="D4" s="2" t="b">
        <v>1</v>
      </c>
      <c r="E4" s="2">
        <v>5</v>
      </c>
      <c r="F4" s="2">
        <v>4</v>
      </c>
      <c r="G4" s="2">
        <v>5</v>
      </c>
      <c r="H4" s="2">
        <v>5</v>
      </c>
      <c r="I4" s="2">
        <v>5</v>
      </c>
      <c r="J4" s="2">
        <v>4</v>
      </c>
      <c r="K4" s="2">
        <v>4</v>
      </c>
    </row>
    <row r="5" spans="1:11" ht="22.5" customHeight="1" x14ac:dyDescent="0.25">
      <c r="A5" s="2" t="s">
        <v>22</v>
      </c>
      <c r="B5" s="3">
        <f>C5/B49 * 100</f>
        <v>80.281690140845072</v>
      </c>
      <c r="C5" s="2">
        <f t="shared" si="0"/>
        <v>57</v>
      </c>
      <c r="D5" s="2" t="b">
        <v>0</v>
      </c>
      <c r="E5" s="2">
        <v>0</v>
      </c>
      <c r="F5" s="2">
        <v>4</v>
      </c>
      <c r="G5" s="2">
        <v>5</v>
      </c>
      <c r="H5" s="2">
        <v>5</v>
      </c>
      <c r="I5" s="2">
        <v>5</v>
      </c>
      <c r="J5" s="2">
        <v>5</v>
      </c>
      <c r="K5" s="2">
        <v>4</v>
      </c>
    </row>
    <row r="6" spans="1:11" ht="22.5" customHeight="1" x14ac:dyDescent="0.25">
      <c r="A6" s="2" t="s">
        <v>23</v>
      </c>
      <c r="B6" s="3">
        <f>C6/B49 * 100</f>
        <v>76.056338028169009</v>
      </c>
      <c r="C6" s="2">
        <f t="shared" si="0"/>
        <v>54</v>
      </c>
      <c r="D6" s="2" t="b">
        <v>0</v>
      </c>
      <c r="E6" s="2">
        <v>0</v>
      </c>
      <c r="F6" s="2">
        <v>4</v>
      </c>
      <c r="G6" s="2">
        <v>5</v>
      </c>
      <c r="H6" s="2">
        <v>5</v>
      </c>
      <c r="I6" s="2">
        <v>4</v>
      </c>
      <c r="J6" s="2">
        <v>5</v>
      </c>
      <c r="K6" s="2">
        <v>4</v>
      </c>
    </row>
    <row r="7" spans="1:11" ht="22.5" customHeight="1" x14ac:dyDescent="0.25">
      <c r="A7" s="2" t="s">
        <v>24</v>
      </c>
      <c r="B7" s="3">
        <f>C7/B49 * 100</f>
        <v>76.056338028169009</v>
      </c>
      <c r="C7" s="2">
        <f t="shared" si="0"/>
        <v>54</v>
      </c>
      <c r="D7" s="2" t="b">
        <v>0</v>
      </c>
      <c r="E7" s="2">
        <v>0</v>
      </c>
      <c r="F7" s="2">
        <v>4</v>
      </c>
      <c r="G7" s="2">
        <v>5</v>
      </c>
      <c r="H7" s="2">
        <v>5</v>
      </c>
      <c r="I7" s="2">
        <v>4</v>
      </c>
      <c r="J7" s="2">
        <v>5</v>
      </c>
      <c r="K7" s="2">
        <v>4</v>
      </c>
    </row>
    <row r="8" spans="1:11" ht="22.5" customHeight="1" x14ac:dyDescent="0.25">
      <c r="A8" s="2" t="s">
        <v>25</v>
      </c>
      <c r="B8" s="3">
        <f>C8/B49 * 100</f>
        <v>76.056338028169009</v>
      </c>
      <c r="C8" s="2">
        <f t="shared" si="0"/>
        <v>54</v>
      </c>
      <c r="D8" s="2" t="b">
        <v>0</v>
      </c>
      <c r="E8" s="2">
        <v>0</v>
      </c>
      <c r="F8" s="2">
        <v>4</v>
      </c>
      <c r="G8" s="2">
        <v>5</v>
      </c>
      <c r="H8" s="2">
        <v>5</v>
      </c>
      <c r="I8" s="2">
        <v>5</v>
      </c>
      <c r="J8" s="2">
        <v>4</v>
      </c>
      <c r="K8" s="2">
        <v>4</v>
      </c>
    </row>
    <row r="9" spans="1:11" ht="22.5" customHeight="1" x14ac:dyDescent="0.25">
      <c r="A9" s="2" t="s">
        <v>26</v>
      </c>
      <c r="B9" s="3">
        <f>C9/B49 * 100</f>
        <v>76.056338028169009</v>
      </c>
      <c r="C9" s="2">
        <f t="shared" si="0"/>
        <v>54</v>
      </c>
      <c r="D9" s="2" t="b">
        <v>0</v>
      </c>
      <c r="E9" s="2">
        <v>0</v>
      </c>
      <c r="F9" s="2">
        <v>4</v>
      </c>
      <c r="G9" s="2">
        <v>5</v>
      </c>
      <c r="H9" s="2">
        <v>5</v>
      </c>
      <c r="I9" s="2">
        <v>5</v>
      </c>
      <c r="J9" s="2">
        <v>4</v>
      </c>
      <c r="K9" s="2">
        <v>4</v>
      </c>
    </row>
    <row r="10" spans="1:11" ht="22.5" customHeight="1" x14ac:dyDescent="0.25">
      <c r="A10" s="2" t="s">
        <v>27</v>
      </c>
      <c r="B10" s="3">
        <f>C10/B49 * 100</f>
        <v>71.83098591549296</v>
      </c>
      <c r="C10" s="2">
        <f t="shared" si="0"/>
        <v>51</v>
      </c>
      <c r="D10" s="2" t="b">
        <v>0</v>
      </c>
      <c r="E10" s="2">
        <v>0</v>
      </c>
      <c r="F10" s="2">
        <v>4</v>
      </c>
      <c r="G10" s="2">
        <v>5</v>
      </c>
      <c r="H10" s="2">
        <v>5</v>
      </c>
      <c r="I10" s="2">
        <v>5</v>
      </c>
      <c r="J10" s="2">
        <v>3</v>
      </c>
      <c r="K10" s="2">
        <v>4</v>
      </c>
    </row>
    <row r="11" spans="1:11" ht="22.5" customHeight="1" x14ac:dyDescent="0.25">
      <c r="A11" s="2" t="s">
        <v>28</v>
      </c>
      <c r="B11" s="3">
        <f>C11/B49 * 100</f>
        <v>80.281690140845072</v>
      </c>
      <c r="C11" s="2">
        <f t="shared" si="0"/>
        <v>57</v>
      </c>
      <c r="D11" s="2" t="b">
        <v>0</v>
      </c>
      <c r="E11" s="12">
        <v>0</v>
      </c>
      <c r="F11" s="12">
        <v>4</v>
      </c>
      <c r="G11" s="12">
        <v>5</v>
      </c>
      <c r="H11" s="12">
        <v>5</v>
      </c>
      <c r="I11" s="12">
        <v>5</v>
      </c>
      <c r="J11" s="12">
        <v>5</v>
      </c>
      <c r="K11" s="2">
        <v>4</v>
      </c>
    </row>
    <row r="12" spans="1:11" ht="22.5" customHeight="1" x14ac:dyDescent="0.25">
      <c r="A12" s="2" t="s">
        <v>29</v>
      </c>
      <c r="B12" s="3">
        <f>C12/B49 * 100</f>
        <v>76.056338028169009</v>
      </c>
      <c r="C12" s="2">
        <f t="shared" si="0"/>
        <v>54</v>
      </c>
      <c r="D12" s="2" t="b">
        <v>0</v>
      </c>
      <c r="E12" s="12">
        <v>0</v>
      </c>
      <c r="F12" s="12">
        <v>4</v>
      </c>
      <c r="G12" s="12">
        <v>5</v>
      </c>
      <c r="H12" s="12">
        <v>5</v>
      </c>
      <c r="I12" s="12">
        <v>4</v>
      </c>
      <c r="J12" s="12">
        <v>5</v>
      </c>
      <c r="K12" s="2">
        <v>4</v>
      </c>
    </row>
    <row r="13" spans="1:11" ht="22.5" customHeight="1" x14ac:dyDescent="0.25">
      <c r="A13" s="2" t="s">
        <v>30</v>
      </c>
      <c r="B13" s="3">
        <f>C13/B49 * 100</f>
        <v>80.281690140845072</v>
      </c>
      <c r="C13" s="2">
        <f t="shared" si="0"/>
        <v>57</v>
      </c>
      <c r="D13" s="2" t="b">
        <v>0</v>
      </c>
      <c r="E13" s="12">
        <v>0</v>
      </c>
      <c r="F13" s="12">
        <v>4</v>
      </c>
      <c r="G13" s="12">
        <v>5</v>
      </c>
      <c r="H13" s="12">
        <v>5</v>
      </c>
      <c r="I13" s="12">
        <v>5</v>
      </c>
      <c r="J13" s="12">
        <v>5</v>
      </c>
      <c r="K13" s="2">
        <v>4</v>
      </c>
    </row>
    <row r="14" spans="1:11" ht="22.5" customHeight="1" x14ac:dyDescent="0.25">
      <c r="A14" s="2" t="s">
        <v>31</v>
      </c>
      <c r="B14" s="3">
        <f>C14/B49 * 100</f>
        <v>76.056338028169009</v>
      </c>
      <c r="C14" s="2">
        <f t="shared" si="0"/>
        <v>54</v>
      </c>
      <c r="D14" s="2" t="b">
        <v>0</v>
      </c>
      <c r="E14" s="12">
        <v>0</v>
      </c>
      <c r="F14" s="12">
        <v>4</v>
      </c>
      <c r="G14" s="12">
        <v>5</v>
      </c>
      <c r="H14" s="12">
        <v>5</v>
      </c>
      <c r="I14" s="12">
        <v>4</v>
      </c>
      <c r="J14" s="12">
        <v>5</v>
      </c>
      <c r="K14" s="2">
        <v>4</v>
      </c>
    </row>
    <row r="15" spans="1:11" ht="22.5" customHeight="1" x14ac:dyDescent="0.25">
      <c r="A15" s="2" t="s">
        <v>32</v>
      </c>
      <c r="B15" s="3">
        <f>C15/B49 * 100</f>
        <v>76.056338028169009</v>
      </c>
      <c r="C15" s="2">
        <f t="shared" si="0"/>
        <v>54</v>
      </c>
      <c r="D15" s="2" t="b">
        <v>0</v>
      </c>
      <c r="E15" s="12">
        <v>0</v>
      </c>
      <c r="F15" s="12">
        <v>4</v>
      </c>
      <c r="G15" s="12">
        <v>5</v>
      </c>
      <c r="H15" s="12">
        <v>5</v>
      </c>
      <c r="I15" s="12">
        <v>4</v>
      </c>
      <c r="J15" s="12">
        <v>5</v>
      </c>
      <c r="K15" s="2">
        <v>4</v>
      </c>
    </row>
    <row r="16" spans="1:11" ht="22.5" customHeight="1" x14ac:dyDescent="0.25">
      <c r="A16" s="2" t="s">
        <v>33</v>
      </c>
      <c r="B16" s="3">
        <f>C16/B49 * 100</f>
        <v>76.056338028169009</v>
      </c>
      <c r="C16" s="2">
        <f t="shared" si="0"/>
        <v>54</v>
      </c>
      <c r="D16" s="2" t="b">
        <v>0</v>
      </c>
      <c r="E16" s="12">
        <v>0</v>
      </c>
      <c r="F16" s="12">
        <v>4</v>
      </c>
      <c r="G16" s="12">
        <v>5</v>
      </c>
      <c r="H16" s="12">
        <v>5</v>
      </c>
      <c r="I16" s="12">
        <v>4</v>
      </c>
      <c r="J16" s="12">
        <v>5</v>
      </c>
      <c r="K16" s="2">
        <v>4</v>
      </c>
    </row>
    <row r="17" spans="1:11" ht="22.5" customHeight="1" x14ac:dyDescent="0.25">
      <c r="A17" s="2" t="s">
        <v>34</v>
      </c>
      <c r="B17" s="3">
        <f>C17/B49 * 100</f>
        <v>71.83098591549296</v>
      </c>
      <c r="C17" s="2">
        <f t="shared" si="0"/>
        <v>51</v>
      </c>
      <c r="D17" s="2" t="b">
        <v>0</v>
      </c>
      <c r="E17" s="12">
        <v>0</v>
      </c>
      <c r="F17" s="12">
        <v>4</v>
      </c>
      <c r="G17" s="12">
        <v>5</v>
      </c>
      <c r="H17" s="12">
        <v>5</v>
      </c>
      <c r="I17" s="12">
        <v>4</v>
      </c>
      <c r="J17" s="12">
        <v>4</v>
      </c>
      <c r="K17" s="2">
        <v>4</v>
      </c>
    </row>
    <row r="18" spans="1:11" ht="22.5" customHeight="1" x14ac:dyDescent="0.25">
      <c r="A18" s="2" t="s">
        <v>35</v>
      </c>
      <c r="B18" s="3">
        <f>C18/B49 * 100</f>
        <v>71.83098591549296</v>
      </c>
      <c r="C18" s="2">
        <f t="shared" si="0"/>
        <v>51</v>
      </c>
      <c r="D18" s="2" t="b">
        <v>0</v>
      </c>
      <c r="E18" s="12">
        <v>0</v>
      </c>
      <c r="F18" s="12">
        <v>4</v>
      </c>
      <c r="G18" s="12">
        <v>5</v>
      </c>
      <c r="H18" s="12">
        <v>5</v>
      </c>
      <c r="I18" s="12">
        <v>4</v>
      </c>
      <c r="J18" s="12">
        <v>4</v>
      </c>
      <c r="K18" s="2">
        <v>4</v>
      </c>
    </row>
    <row r="19" spans="1:11" ht="22.5" customHeight="1" x14ac:dyDescent="0.25">
      <c r="A19" s="2" t="s">
        <v>36</v>
      </c>
      <c r="B19" s="3">
        <f>C19/B49 * 100</f>
        <v>71.83098591549296</v>
      </c>
      <c r="C19" s="2">
        <f t="shared" si="0"/>
        <v>51</v>
      </c>
      <c r="D19" s="2" t="b">
        <v>0</v>
      </c>
      <c r="E19" s="12">
        <v>0</v>
      </c>
      <c r="F19" s="12">
        <v>4</v>
      </c>
      <c r="G19" s="12">
        <v>5</v>
      </c>
      <c r="H19" s="12">
        <v>5</v>
      </c>
      <c r="I19" s="12">
        <v>4</v>
      </c>
      <c r="J19" s="12">
        <v>4</v>
      </c>
      <c r="K19" s="2">
        <v>4</v>
      </c>
    </row>
    <row r="20" spans="1:11" ht="22.5" customHeight="1" x14ac:dyDescent="0.25">
      <c r="A20" s="2" t="s">
        <v>37</v>
      </c>
      <c r="B20" s="3">
        <f>C20/B49 * 100</f>
        <v>80.281690140845072</v>
      </c>
      <c r="C20" s="2">
        <f t="shared" si="0"/>
        <v>57</v>
      </c>
      <c r="D20" s="2" t="b">
        <v>0</v>
      </c>
      <c r="E20" s="12">
        <v>0</v>
      </c>
      <c r="F20" s="12">
        <v>4</v>
      </c>
      <c r="G20" s="12">
        <v>5</v>
      </c>
      <c r="H20" s="12">
        <v>5</v>
      </c>
      <c r="I20" s="12">
        <v>5</v>
      </c>
      <c r="J20" s="12">
        <v>5</v>
      </c>
      <c r="K20" s="2">
        <v>4</v>
      </c>
    </row>
    <row r="21" spans="1:11" ht="22.5" customHeight="1" x14ac:dyDescent="0.25">
      <c r="A21" s="2" t="s">
        <v>38</v>
      </c>
      <c r="B21" s="3">
        <f>C21/B49 * 100</f>
        <v>76.056338028169009</v>
      </c>
      <c r="C21" s="2">
        <f t="shared" si="0"/>
        <v>54</v>
      </c>
      <c r="D21" s="2" t="b">
        <v>0</v>
      </c>
      <c r="E21" s="12">
        <v>0</v>
      </c>
      <c r="F21" s="12">
        <v>4</v>
      </c>
      <c r="G21" s="12">
        <v>5</v>
      </c>
      <c r="H21" s="12">
        <v>5</v>
      </c>
      <c r="I21" s="12">
        <v>5</v>
      </c>
      <c r="J21" s="12">
        <v>4</v>
      </c>
      <c r="K21" s="2">
        <v>4</v>
      </c>
    </row>
    <row r="22" spans="1:11" ht="22.5" customHeight="1" x14ac:dyDescent="0.25">
      <c r="A22" s="2" t="s">
        <v>39</v>
      </c>
      <c r="B22" s="3">
        <f>C22/B49 * 100</f>
        <v>80.281690140845072</v>
      </c>
      <c r="C22" s="2">
        <f t="shared" si="0"/>
        <v>57</v>
      </c>
      <c r="D22" s="2" t="b">
        <v>0</v>
      </c>
      <c r="E22" s="12">
        <v>0</v>
      </c>
      <c r="F22" s="12">
        <v>4</v>
      </c>
      <c r="G22" s="12">
        <v>5</v>
      </c>
      <c r="H22" s="12">
        <v>5</v>
      </c>
      <c r="I22" s="12">
        <v>5</v>
      </c>
      <c r="J22" s="12">
        <v>5</v>
      </c>
      <c r="K22" s="2">
        <v>4</v>
      </c>
    </row>
    <row r="23" spans="1:11" ht="22.5" customHeight="1" x14ac:dyDescent="0.25">
      <c r="A23" s="2" t="s">
        <v>40</v>
      </c>
      <c r="B23" s="3">
        <f>C23/B49 * 100</f>
        <v>71.83098591549296</v>
      </c>
      <c r="C23" s="2">
        <f t="shared" si="0"/>
        <v>51</v>
      </c>
      <c r="D23" s="2" t="b">
        <v>0</v>
      </c>
      <c r="E23" s="12">
        <v>0</v>
      </c>
      <c r="F23" s="12">
        <v>4</v>
      </c>
      <c r="G23" s="12">
        <v>5</v>
      </c>
      <c r="H23" s="12">
        <v>5</v>
      </c>
      <c r="I23" s="12">
        <v>5</v>
      </c>
      <c r="J23" s="12">
        <v>3</v>
      </c>
      <c r="K23" s="2">
        <v>4</v>
      </c>
    </row>
    <row r="24" spans="1:11" ht="22.5" customHeight="1" x14ac:dyDescent="0.25">
      <c r="A24" s="2" t="s">
        <v>41</v>
      </c>
      <c r="B24" s="3">
        <f>C24/B49 * 100</f>
        <v>71.83098591549296</v>
      </c>
      <c r="C24" s="2">
        <f t="shared" si="0"/>
        <v>51</v>
      </c>
      <c r="D24" s="2" t="b">
        <v>0</v>
      </c>
      <c r="E24" s="12">
        <v>0</v>
      </c>
      <c r="F24" s="12">
        <v>4</v>
      </c>
      <c r="G24" s="12">
        <v>5</v>
      </c>
      <c r="H24" s="12">
        <v>5</v>
      </c>
      <c r="I24" s="12">
        <v>5</v>
      </c>
      <c r="J24" s="12">
        <v>3</v>
      </c>
      <c r="K24" s="2">
        <v>4</v>
      </c>
    </row>
    <row r="25" spans="1:11" ht="22.5" customHeight="1" x14ac:dyDescent="0.25">
      <c r="A25" s="2" t="s">
        <v>42</v>
      </c>
      <c r="B25" s="3">
        <f>C25/B49 * 100</f>
        <v>76.056338028169009</v>
      </c>
      <c r="C25" s="2">
        <f t="shared" si="0"/>
        <v>54</v>
      </c>
      <c r="D25" s="2" t="b">
        <v>0</v>
      </c>
      <c r="E25" s="12">
        <v>0</v>
      </c>
      <c r="F25" s="12">
        <v>4</v>
      </c>
      <c r="G25" s="12">
        <v>5</v>
      </c>
      <c r="H25" s="12">
        <v>5</v>
      </c>
      <c r="I25" s="12">
        <v>5</v>
      </c>
      <c r="J25" s="12">
        <v>4</v>
      </c>
      <c r="K25" s="2">
        <v>4</v>
      </c>
    </row>
    <row r="26" spans="1:11" ht="22.5" customHeight="1" x14ac:dyDescent="0.25">
      <c r="A26" s="2" t="s">
        <v>43</v>
      </c>
      <c r="B26" s="3">
        <f>C26/B49 * 100</f>
        <v>78.873239436619713</v>
      </c>
      <c r="C26" s="2">
        <f t="shared" si="0"/>
        <v>56</v>
      </c>
      <c r="D26" s="2" t="b">
        <v>1</v>
      </c>
      <c r="E26" s="12">
        <v>2</v>
      </c>
      <c r="F26" s="12">
        <v>4</v>
      </c>
      <c r="G26" s="12">
        <v>5</v>
      </c>
      <c r="H26" s="12">
        <v>5</v>
      </c>
      <c r="I26" s="12">
        <v>5</v>
      </c>
      <c r="J26" s="12">
        <v>3</v>
      </c>
      <c r="K26" s="2">
        <v>4</v>
      </c>
    </row>
    <row r="27" spans="1:11" ht="22.5" customHeight="1" x14ac:dyDescent="0.25">
      <c r="A27" s="2" t="s">
        <v>44</v>
      </c>
      <c r="B27" s="3">
        <f>C27/B49 * 100</f>
        <v>71.83098591549296</v>
      </c>
      <c r="C27" s="2">
        <f t="shared" si="0"/>
        <v>51</v>
      </c>
      <c r="D27" s="2" t="b">
        <v>1</v>
      </c>
      <c r="E27" s="12">
        <v>1</v>
      </c>
      <c r="F27" s="12">
        <v>4</v>
      </c>
      <c r="G27" s="12">
        <v>5</v>
      </c>
      <c r="H27" s="12">
        <v>5</v>
      </c>
      <c r="I27" s="12">
        <v>4</v>
      </c>
      <c r="J27" s="12">
        <v>3</v>
      </c>
      <c r="K27" s="2">
        <v>4</v>
      </c>
    </row>
    <row r="28" spans="1:11" ht="22.5" customHeight="1" x14ac:dyDescent="0.25">
      <c r="A28" s="2" t="s">
        <v>45</v>
      </c>
      <c r="B28" s="3">
        <f>C28/B49 * 100</f>
        <v>81.690140845070431</v>
      </c>
      <c r="C28" s="2">
        <f t="shared" si="0"/>
        <v>58</v>
      </c>
      <c r="D28" s="2" t="b">
        <v>1</v>
      </c>
      <c r="E28" s="12">
        <v>3</v>
      </c>
      <c r="F28" s="12">
        <v>4</v>
      </c>
      <c r="G28" s="12">
        <v>5</v>
      </c>
      <c r="H28" s="12">
        <v>5</v>
      </c>
      <c r="I28" s="12">
        <v>4</v>
      </c>
      <c r="J28" s="12">
        <v>4</v>
      </c>
      <c r="K28" s="2">
        <v>4</v>
      </c>
    </row>
    <row r="29" spans="1:11" ht="22.5" customHeight="1" x14ac:dyDescent="0.25">
      <c r="A29" s="2" t="s">
        <v>46</v>
      </c>
      <c r="B29" s="3">
        <f>C29/B49 * 100</f>
        <v>67.605633802816897</v>
      </c>
      <c r="C29" s="2">
        <f t="shared" si="0"/>
        <v>48</v>
      </c>
      <c r="D29" s="2" t="b">
        <v>0</v>
      </c>
      <c r="E29" s="12">
        <v>0</v>
      </c>
      <c r="F29" s="12">
        <v>4</v>
      </c>
      <c r="G29" s="12">
        <v>5</v>
      </c>
      <c r="H29" s="12">
        <v>5</v>
      </c>
      <c r="I29" s="12">
        <v>3</v>
      </c>
      <c r="J29" s="12">
        <v>4</v>
      </c>
      <c r="K29" s="2">
        <v>4</v>
      </c>
    </row>
    <row r="30" spans="1:11" ht="22.5" customHeight="1" x14ac:dyDescent="0.25">
      <c r="A30" s="2" t="s">
        <v>47</v>
      </c>
      <c r="B30" s="3">
        <f>C30/B49 * 100</f>
        <v>67.605633802816897</v>
      </c>
      <c r="C30" s="2">
        <f t="shared" si="0"/>
        <v>48</v>
      </c>
      <c r="D30" s="2" t="b">
        <v>0</v>
      </c>
      <c r="E30" s="12">
        <v>0</v>
      </c>
      <c r="F30" s="12">
        <v>4</v>
      </c>
      <c r="G30" s="12">
        <v>5</v>
      </c>
      <c r="H30" s="12">
        <v>5</v>
      </c>
      <c r="I30" s="12">
        <v>3</v>
      </c>
      <c r="J30" s="12">
        <v>4</v>
      </c>
      <c r="K30" s="2">
        <v>4</v>
      </c>
    </row>
    <row r="31" spans="1:11" ht="22.5" customHeight="1" x14ac:dyDescent="0.25">
      <c r="A31" s="2" t="s">
        <v>48</v>
      </c>
      <c r="B31" s="3">
        <f>C31/B49 * 100</f>
        <v>67.605633802816897</v>
      </c>
      <c r="C31" s="2">
        <f t="shared" si="0"/>
        <v>48</v>
      </c>
      <c r="D31" s="2" t="b">
        <v>0</v>
      </c>
      <c r="E31" s="12">
        <v>0</v>
      </c>
      <c r="F31" s="12">
        <v>4</v>
      </c>
      <c r="G31" s="12">
        <v>5</v>
      </c>
      <c r="H31" s="12">
        <v>5</v>
      </c>
      <c r="I31" s="12">
        <v>3</v>
      </c>
      <c r="J31" s="12">
        <v>4</v>
      </c>
      <c r="K31" s="2">
        <v>4</v>
      </c>
    </row>
    <row r="32" spans="1:11" ht="22.5" customHeight="1" x14ac:dyDescent="0.25">
      <c r="A32" s="2" t="s">
        <v>49</v>
      </c>
      <c r="B32" s="3">
        <f>C32/B49 * 100</f>
        <v>77.464788732394368</v>
      </c>
      <c r="C32" s="2">
        <f t="shared" si="0"/>
        <v>55</v>
      </c>
      <c r="D32" s="2" t="b">
        <v>1</v>
      </c>
      <c r="E32" s="12">
        <v>3</v>
      </c>
      <c r="F32" s="12">
        <v>4</v>
      </c>
      <c r="G32" s="12">
        <v>5</v>
      </c>
      <c r="H32" s="12">
        <v>5</v>
      </c>
      <c r="I32" s="12">
        <v>4</v>
      </c>
      <c r="J32" s="12">
        <v>3</v>
      </c>
      <c r="K32" s="2">
        <v>4</v>
      </c>
    </row>
    <row r="33" spans="1:11" ht="22.5" customHeight="1" x14ac:dyDescent="0.25">
      <c r="A33" s="2" t="s">
        <v>50</v>
      </c>
      <c r="B33" s="3">
        <f>C33/B49 * 100</f>
        <v>77.464788732394368</v>
      </c>
      <c r="C33" s="2">
        <f t="shared" si="0"/>
        <v>55</v>
      </c>
      <c r="D33" s="2" t="b">
        <v>1</v>
      </c>
      <c r="E33" s="12">
        <v>3</v>
      </c>
      <c r="F33" s="12">
        <v>4</v>
      </c>
      <c r="G33" s="12">
        <v>5</v>
      </c>
      <c r="H33" s="12">
        <v>5</v>
      </c>
      <c r="I33" s="12">
        <v>4</v>
      </c>
      <c r="J33" s="12">
        <v>3</v>
      </c>
      <c r="K33" s="2">
        <v>4</v>
      </c>
    </row>
    <row r="34" spans="1:11" ht="22.5" customHeight="1" x14ac:dyDescent="0.25">
      <c r="A34" s="2" t="s">
        <v>51</v>
      </c>
      <c r="B34" s="3">
        <f>C34/B49 * 100</f>
        <v>73.239436619718319</v>
      </c>
      <c r="C34" s="2">
        <f t="shared" si="0"/>
        <v>52</v>
      </c>
      <c r="D34" s="2" t="b">
        <v>1</v>
      </c>
      <c r="E34" s="12">
        <v>3</v>
      </c>
      <c r="F34" s="12">
        <v>4</v>
      </c>
      <c r="G34" s="12">
        <v>5</v>
      </c>
      <c r="H34" s="12">
        <v>5</v>
      </c>
      <c r="I34" s="12">
        <v>3</v>
      </c>
      <c r="J34" s="12">
        <v>3</v>
      </c>
      <c r="K34" s="2">
        <v>4</v>
      </c>
    </row>
    <row r="35" spans="1:11" ht="22.5" customHeight="1" x14ac:dyDescent="0.25">
      <c r="A35" s="2" t="s">
        <v>52</v>
      </c>
      <c r="B35" s="3">
        <f>C35/B49 * 100</f>
        <v>76.056338028169009</v>
      </c>
      <c r="C35" s="2">
        <f t="shared" si="0"/>
        <v>54</v>
      </c>
      <c r="D35" s="2" t="b">
        <v>0</v>
      </c>
      <c r="E35" s="2">
        <v>0</v>
      </c>
      <c r="F35" s="12">
        <v>4</v>
      </c>
      <c r="G35" s="12">
        <v>5</v>
      </c>
      <c r="H35" s="12">
        <v>5</v>
      </c>
      <c r="I35" s="12">
        <v>5</v>
      </c>
      <c r="J35" s="12">
        <v>4</v>
      </c>
      <c r="K35" s="2">
        <v>4</v>
      </c>
    </row>
    <row r="36" spans="1:11" ht="22.5" customHeight="1" x14ac:dyDescent="0.25">
      <c r="A36" s="2" t="s">
        <v>53</v>
      </c>
      <c r="B36" s="3">
        <f>C36/B49 * 100</f>
        <v>76.056338028169009</v>
      </c>
      <c r="C36" s="2">
        <f t="shared" si="0"/>
        <v>54</v>
      </c>
      <c r="D36" s="2" t="b">
        <v>0</v>
      </c>
      <c r="E36" s="2">
        <v>0</v>
      </c>
      <c r="F36" s="12">
        <v>4</v>
      </c>
      <c r="G36" s="12">
        <v>5</v>
      </c>
      <c r="H36" s="12">
        <v>5</v>
      </c>
      <c r="I36" s="12">
        <v>5</v>
      </c>
      <c r="J36" s="12">
        <v>4</v>
      </c>
      <c r="K36" s="2">
        <v>4</v>
      </c>
    </row>
    <row r="37" spans="1:11" ht="22.5" customHeight="1" x14ac:dyDescent="0.25">
      <c r="A37" s="2" t="s">
        <v>54</v>
      </c>
      <c r="B37" s="3">
        <f>C37/B49 * 100</f>
        <v>67.605633802816897</v>
      </c>
      <c r="C37" s="2">
        <f t="shared" si="0"/>
        <v>48</v>
      </c>
      <c r="D37" s="2" t="b">
        <v>0</v>
      </c>
      <c r="E37" s="2">
        <v>0</v>
      </c>
      <c r="F37" s="12">
        <v>4</v>
      </c>
      <c r="G37" s="12">
        <v>5</v>
      </c>
      <c r="H37" s="12">
        <v>5</v>
      </c>
      <c r="I37" s="12">
        <v>3</v>
      </c>
      <c r="J37" s="12">
        <v>4</v>
      </c>
      <c r="K37" s="2">
        <v>4</v>
      </c>
    </row>
    <row r="38" spans="1:11" ht="22.5" customHeight="1" x14ac:dyDescent="0.25">
      <c r="A38" s="2" t="s">
        <v>55</v>
      </c>
      <c r="B38" s="3">
        <f>MEDIAN(Tabela_2[Nota Final (%)])</f>
        <v>76.056338028169009</v>
      </c>
      <c r="C38" s="2">
        <f>MEDIAN(Tabela_2[Pontos Totais (max 71)])</f>
        <v>54</v>
      </c>
      <c r="D38" s="2"/>
      <c r="E38" s="3">
        <f>AVERAGE(Tabela_2[o texo é legivel?])</f>
        <v>0.83333333333333337</v>
      </c>
      <c r="F38" s="2">
        <f>AVERAGE(Tabela_2[Resolução])</f>
        <v>4</v>
      </c>
      <c r="G38" s="3">
        <f>AVERAGE(Tabela_2[Qualidade Visual])</f>
        <v>5</v>
      </c>
      <c r="H38" s="2">
        <f>AVERAGE(Tabela_2[Enquadramento])</f>
        <v>5</v>
      </c>
      <c r="I38" s="3">
        <f>AVERAGE(Tabela_2[Alinhamento Prompt])</f>
        <v>4.3611111111111107</v>
      </c>
      <c r="J38" s="2">
        <f>MEDIAN(Tabela_2[Alucinações])</f>
        <v>4</v>
      </c>
      <c r="K38" s="2">
        <f>AVERAGE(Tabela_2[Tamanho Prompt])</f>
        <v>4</v>
      </c>
    </row>
    <row r="40" spans="1:11" ht="12.75" x14ac:dyDescent="0.2">
      <c r="J40" s="9" t="s">
        <v>59</v>
      </c>
    </row>
    <row r="49" spans="1:11" ht="12.75" x14ac:dyDescent="0.2">
      <c r="A49" s="10" t="s">
        <v>57</v>
      </c>
      <c r="B49" s="11">
        <f>1 + (5 * E49) + (5 * F49) + (5 * G49) + (5 * H49) + (5 * I49) + (5* J49) + (5* K49)</f>
        <v>71</v>
      </c>
      <c r="C49" s="10" t="s">
        <v>58</v>
      </c>
      <c r="D49" s="11">
        <v>1</v>
      </c>
      <c r="E49" s="11">
        <v>2</v>
      </c>
      <c r="F49" s="11">
        <v>1</v>
      </c>
      <c r="G49" s="11">
        <v>2</v>
      </c>
      <c r="H49" s="11">
        <v>1</v>
      </c>
      <c r="I49" s="11">
        <v>3</v>
      </c>
      <c r="J49" s="11">
        <v>3</v>
      </c>
      <c r="K49" s="11">
        <v>2</v>
      </c>
    </row>
    <row r="50" spans="1:11" ht="12.75" x14ac:dyDescent="0.2">
      <c r="D50" s="11">
        <v>1</v>
      </c>
      <c r="E50" s="11">
        <v>2</v>
      </c>
      <c r="F50" s="11">
        <v>1</v>
      </c>
      <c r="G50" s="11">
        <v>2</v>
      </c>
      <c r="H50" s="11">
        <v>1</v>
      </c>
      <c r="I50" s="11">
        <v>3</v>
      </c>
      <c r="J50" s="11">
        <v>3</v>
      </c>
      <c r="K50" s="11">
        <v>2</v>
      </c>
    </row>
    <row r="51" spans="1:11" ht="12.75" x14ac:dyDescent="0.2">
      <c r="D51" s="11">
        <v>1</v>
      </c>
      <c r="E51" s="11">
        <v>2</v>
      </c>
      <c r="F51" s="11">
        <v>1</v>
      </c>
      <c r="G51" s="11">
        <v>2</v>
      </c>
      <c r="H51" s="11">
        <v>1</v>
      </c>
      <c r="I51" s="11">
        <v>3</v>
      </c>
      <c r="J51" s="11">
        <v>3</v>
      </c>
      <c r="K51" s="11">
        <v>2</v>
      </c>
    </row>
    <row r="52" spans="1:11" ht="12.75" x14ac:dyDescent="0.2">
      <c r="D52" s="11">
        <v>1</v>
      </c>
      <c r="E52" s="11">
        <v>2</v>
      </c>
      <c r="F52" s="11">
        <v>1</v>
      </c>
      <c r="G52" s="11">
        <v>2</v>
      </c>
      <c r="H52" s="11">
        <v>1</v>
      </c>
      <c r="I52" s="11">
        <v>3</v>
      </c>
      <c r="J52" s="11">
        <v>3</v>
      </c>
      <c r="K52" s="11">
        <v>2</v>
      </c>
    </row>
    <row r="53" spans="1:11" ht="12.75" x14ac:dyDescent="0.2">
      <c r="D53" s="11">
        <v>1</v>
      </c>
      <c r="E53" s="11">
        <v>2</v>
      </c>
      <c r="F53" s="11">
        <v>1</v>
      </c>
      <c r="G53" s="11">
        <v>2</v>
      </c>
      <c r="H53" s="11">
        <v>1</v>
      </c>
      <c r="I53" s="11">
        <v>3</v>
      </c>
      <c r="J53" s="11">
        <v>3</v>
      </c>
      <c r="K53" s="11">
        <v>2</v>
      </c>
    </row>
    <row r="54" spans="1:11" ht="12.75" x14ac:dyDescent="0.2">
      <c r="D54" s="11">
        <v>1</v>
      </c>
      <c r="E54" s="11">
        <v>2</v>
      </c>
      <c r="F54" s="11">
        <v>1</v>
      </c>
      <c r="G54" s="11">
        <v>2</v>
      </c>
      <c r="H54" s="11">
        <v>1</v>
      </c>
      <c r="I54" s="11">
        <v>3</v>
      </c>
      <c r="J54" s="11">
        <v>3</v>
      </c>
      <c r="K54" s="11">
        <v>2</v>
      </c>
    </row>
    <row r="55" spans="1:11" ht="12.75" x14ac:dyDescent="0.2">
      <c r="D55" s="11">
        <v>1</v>
      </c>
      <c r="E55" s="11">
        <v>2</v>
      </c>
      <c r="F55" s="11">
        <v>1</v>
      </c>
      <c r="G55" s="11">
        <v>2</v>
      </c>
      <c r="H55" s="11">
        <v>1</v>
      </c>
      <c r="I55" s="11">
        <v>3</v>
      </c>
      <c r="J55" s="11">
        <v>3</v>
      </c>
      <c r="K55" s="11">
        <v>2</v>
      </c>
    </row>
    <row r="56" spans="1:11" ht="12.75" x14ac:dyDescent="0.2">
      <c r="D56" s="11">
        <v>1</v>
      </c>
      <c r="E56" s="11">
        <v>2</v>
      </c>
      <c r="F56" s="11">
        <v>1</v>
      </c>
      <c r="G56" s="11">
        <v>2</v>
      </c>
      <c r="H56" s="11">
        <v>1</v>
      </c>
      <c r="I56" s="11">
        <v>3</v>
      </c>
      <c r="J56" s="11">
        <v>3</v>
      </c>
      <c r="K56" s="11">
        <v>2</v>
      </c>
    </row>
    <row r="57" spans="1:11" ht="12.75" x14ac:dyDescent="0.2">
      <c r="D57" s="11">
        <v>1</v>
      </c>
      <c r="E57" s="11">
        <v>2</v>
      </c>
      <c r="F57" s="11">
        <v>1</v>
      </c>
      <c r="G57" s="11">
        <v>2</v>
      </c>
      <c r="H57" s="11">
        <v>1</v>
      </c>
      <c r="I57" s="11">
        <v>3</v>
      </c>
      <c r="J57" s="11">
        <v>3</v>
      </c>
      <c r="K57" s="11">
        <v>2</v>
      </c>
    </row>
    <row r="58" spans="1:11" ht="12.75" x14ac:dyDescent="0.2">
      <c r="D58" s="11">
        <v>1</v>
      </c>
      <c r="E58" s="11">
        <v>2</v>
      </c>
      <c r="F58" s="11">
        <v>1</v>
      </c>
      <c r="G58" s="11">
        <v>2</v>
      </c>
      <c r="H58" s="11">
        <v>1</v>
      </c>
      <c r="I58" s="11">
        <v>3</v>
      </c>
      <c r="J58" s="11">
        <v>3</v>
      </c>
      <c r="K58" s="11">
        <v>2</v>
      </c>
    </row>
    <row r="59" spans="1:11" ht="12.75" x14ac:dyDescent="0.2">
      <c r="D59" s="11">
        <v>1</v>
      </c>
      <c r="E59" s="11">
        <v>2</v>
      </c>
      <c r="F59" s="11">
        <v>1</v>
      </c>
      <c r="G59" s="11">
        <v>2</v>
      </c>
      <c r="H59" s="11">
        <v>1</v>
      </c>
      <c r="I59" s="11">
        <v>3</v>
      </c>
      <c r="J59" s="11">
        <v>3</v>
      </c>
      <c r="K59" s="11">
        <v>2</v>
      </c>
    </row>
    <row r="60" spans="1:11" ht="12.75" x14ac:dyDescent="0.2">
      <c r="D60" s="11">
        <v>1</v>
      </c>
      <c r="E60" s="11">
        <v>2</v>
      </c>
      <c r="F60" s="11">
        <v>1</v>
      </c>
      <c r="G60" s="11">
        <v>2</v>
      </c>
      <c r="H60" s="11">
        <v>1</v>
      </c>
      <c r="I60" s="11">
        <v>3</v>
      </c>
      <c r="J60" s="11">
        <v>3</v>
      </c>
      <c r="K60" s="11">
        <v>2</v>
      </c>
    </row>
    <row r="61" spans="1:11" ht="12.75" x14ac:dyDescent="0.2">
      <c r="D61" s="11">
        <v>1</v>
      </c>
      <c r="E61" s="11">
        <v>2</v>
      </c>
      <c r="F61" s="11">
        <v>1</v>
      </c>
      <c r="G61" s="11">
        <v>2</v>
      </c>
      <c r="H61" s="11">
        <v>1</v>
      </c>
      <c r="I61" s="11">
        <v>3</v>
      </c>
      <c r="J61" s="11">
        <v>3</v>
      </c>
      <c r="K61" s="11">
        <v>2</v>
      </c>
    </row>
    <row r="62" spans="1:11" ht="12.75" x14ac:dyDescent="0.2">
      <c r="D62" s="11">
        <v>1</v>
      </c>
      <c r="E62" s="11">
        <v>2</v>
      </c>
      <c r="F62" s="11">
        <v>1</v>
      </c>
      <c r="G62" s="11">
        <v>2</v>
      </c>
      <c r="H62" s="11">
        <v>1</v>
      </c>
      <c r="I62" s="11">
        <v>3</v>
      </c>
      <c r="J62" s="11">
        <v>3</v>
      </c>
      <c r="K62" s="11">
        <v>2</v>
      </c>
    </row>
    <row r="63" spans="1:11" ht="12.75" x14ac:dyDescent="0.2">
      <c r="D63" s="11">
        <v>1</v>
      </c>
      <c r="E63" s="11">
        <v>2</v>
      </c>
      <c r="F63" s="11">
        <v>1</v>
      </c>
      <c r="G63" s="11">
        <v>2</v>
      </c>
      <c r="H63" s="11">
        <v>1</v>
      </c>
      <c r="I63" s="11">
        <v>3</v>
      </c>
      <c r="J63" s="11">
        <v>3</v>
      </c>
      <c r="K63" s="11">
        <v>2</v>
      </c>
    </row>
    <row r="64" spans="1:11" ht="12.75" x14ac:dyDescent="0.2">
      <c r="D64" s="11">
        <v>1</v>
      </c>
      <c r="E64" s="11">
        <v>2</v>
      </c>
      <c r="F64" s="11">
        <v>1</v>
      </c>
      <c r="G64" s="11">
        <v>2</v>
      </c>
      <c r="H64" s="11">
        <v>1</v>
      </c>
      <c r="I64" s="11">
        <v>3</v>
      </c>
      <c r="J64" s="11">
        <v>3</v>
      </c>
      <c r="K64" s="11">
        <v>2</v>
      </c>
    </row>
    <row r="65" spans="4:11" ht="12.75" x14ac:dyDescent="0.2">
      <c r="D65" s="11">
        <v>1</v>
      </c>
      <c r="E65" s="11">
        <v>2</v>
      </c>
      <c r="F65" s="11">
        <v>1</v>
      </c>
      <c r="G65" s="11">
        <v>2</v>
      </c>
      <c r="H65" s="11">
        <v>1</v>
      </c>
      <c r="I65" s="11">
        <v>3</v>
      </c>
      <c r="J65" s="11">
        <v>3</v>
      </c>
      <c r="K65" s="11">
        <v>2</v>
      </c>
    </row>
    <row r="66" spans="4:11" ht="12.75" x14ac:dyDescent="0.2">
      <c r="D66" s="11">
        <v>1</v>
      </c>
      <c r="E66" s="11">
        <v>2</v>
      </c>
      <c r="F66" s="11">
        <v>1</v>
      </c>
      <c r="G66" s="11">
        <v>2</v>
      </c>
      <c r="H66" s="11">
        <v>1</v>
      </c>
      <c r="I66" s="11">
        <v>3</v>
      </c>
      <c r="J66" s="11">
        <v>3</v>
      </c>
      <c r="K66" s="11">
        <v>2</v>
      </c>
    </row>
    <row r="67" spans="4:11" ht="12.75" x14ac:dyDescent="0.2">
      <c r="D67" s="11">
        <v>1</v>
      </c>
      <c r="E67" s="11">
        <v>2</v>
      </c>
      <c r="F67" s="11">
        <v>1</v>
      </c>
      <c r="G67" s="11">
        <v>2</v>
      </c>
      <c r="H67" s="11">
        <v>1</v>
      </c>
      <c r="I67" s="11">
        <v>3</v>
      </c>
      <c r="J67" s="11">
        <v>3</v>
      </c>
      <c r="K67" s="11">
        <v>2</v>
      </c>
    </row>
    <row r="68" spans="4:11" ht="12.75" x14ac:dyDescent="0.2">
      <c r="D68" s="11">
        <v>1</v>
      </c>
      <c r="E68" s="11">
        <v>2</v>
      </c>
      <c r="F68" s="11">
        <v>1</v>
      </c>
      <c r="G68" s="11">
        <v>2</v>
      </c>
      <c r="H68" s="11">
        <v>1</v>
      </c>
      <c r="I68" s="11">
        <v>3</v>
      </c>
      <c r="J68" s="11">
        <v>3</v>
      </c>
      <c r="K68" s="11">
        <v>2</v>
      </c>
    </row>
    <row r="69" spans="4:11" ht="12.75" x14ac:dyDescent="0.2">
      <c r="D69" s="11">
        <v>1</v>
      </c>
      <c r="E69" s="11">
        <v>2</v>
      </c>
      <c r="F69" s="11">
        <v>1</v>
      </c>
      <c r="G69" s="11">
        <v>2</v>
      </c>
      <c r="H69" s="11">
        <v>1</v>
      </c>
      <c r="I69" s="11">
        <v>3</v>
      </c>
      <c r="J69" s="11">
        <v>3</v>
      </c>
      <c r="K69" s="11">
        <v>2</v>
      </c>
    </row>
    <row r="70" spans="4:11" ht="12.75" x14ac:dyDescent="0.2">
      <c r="D70" s="11">
        <v>1</v>
      </c>
      <c r="E70" s="11">
        <v>2</v>
      </c>
      <c r="F70" s="11">
        <v>1</v>
      </c>
      <c r="G70" s="11">
        <v>2</v>
      </c>
      <c r="H70" s="11">
        <v>1</v>
      </c>
      <c r="I70" s="11">
        <v>3</v>
      </c>
      <c r="J70" s="11">
        <v>3</v>
      </c>
      <c r="K70" s="11">
        <v>2</v>
      </c>
    </row>
    <row r="71" spans="4:11" ht="12.75" x14ac:dyDescent="0.2">
      <c r="D71" s="11">
        <v>1</v>
      </c>
      <c r="E71" s="11">
        <v>2</v>
      </c>
      <c r="F71" s="11">
        <v>1</v>
      </c>
      <c r="G71" s="11">
        <v>2</v>
      </c>
      <c r="H71" s="11">
        <v>1</v>
      </c>
      <c r="I71" s="11">
        <v>3</v>
      </c>
      <c r="J71" s="11">
        <v>3</v>
      </c>
      <c r="K71" s="11">
        <v>2</v>
      </c>
    </row>
    <row r="72" spans="4:11" ht="12.75" x14ac:dyDescent="0.2">
      <c r="D72" s="11">
        <v>1</v>
      </c>
      <c r="E72" s="11">
        <v>2</v>
      </c>
      <c r="F72" s="11">
        <v>1</v>
      </c>
      <c r="G72" s="11">
        <v>2</v>
      </c>
      <c r="H72" s="11">
        <v>1</v>
      </c>
      <c r="I72" s="11">
        <v>3</v>
      </c>
      <c r="J72" s="11">
        <v>3</v>
      </c>
      <c r="K72" s="11">
        <v>2</v>
      </c>
    </row>
    <row r="73" spans="4:11" ht="12.75" x14ac:dyDescent="0.2">
      <c r="D73" s="11">
        <v>1</v>
      </c>
      <c r="E73" s="11">
        <v>2</v>
      </c>
      <c r="F73" s="11">
        <v>1</v>
      </c>
      <c r="G73" s="11">
        <v>2</v>
      </c>
      <c r="H73" s="11">
        <v>1</v>
      </c>
      <c r="I73" s="11">
        <v>3</v>
      </c>
      <c r="J73" s="11">
        <v>3</v>
      </c>
      <c r="K73" s="11">
        <v>2</v>
      </c>
    </row>
    <row r="74" spans="4:11" ht="12.75" x14ac:dyDescent="0.2">
      <c r="D74" s="11">
        <v>1</v>
      </c>
      <c r="E74" s="11">
        <v>2</v>
      </c>
      <c r="F74" s="11">
        <v>1</v>
      </c>
      <c r="G74" s="11">
        <v>2</v>
      </c>
      <c r="H74" s="11">
        <v>1</v>
      </c>
      <c r="I74" s="11">
        <v>3</v>
      </c>
      <c r="J74" s="11">
        <v>3</v>
      </c>
      <c r="K74" s="11">
        <v>2</v>
      </c>
    </row>
    <row r="75" spans="4:11" ht="12.75" x14ac:dyDescent="0.2">
      <c r="D75" s="11">
        <v>1</v>
      </c>
      <c r="E75" s="11">
        <v>2</v>
      </c>
      <c r="F75" s="11">
        <v>1</v>
      </c>
      <c r="G75" s="11">
        <v>2</v>
      </c>
      <c r="H75" s="11">
        <v>1</v>
      </c>
      <c r="I75" s="11">
        <v>3</v>
      </c>
      <c r="J75" s="11">
        <v>3</v>
      </c>
      <c r="K75" s="11">
        <v>2</v>
      </c>
    </row>
    <row r="76" spans="4:11" ht="12.75" x14ac:dyDescent="0.2">
      <c r="D76" s="11">
        <v>1</v>
      </c>
      <c r="E76" s="11">
        <v>2</v>
      </c>
      <c r="F76" s="11">
        <v>1</v>
      </c>
      <c r="G76" s="11">
        <v>2</v>
      </c>
      <c r="H76" s="11">
        <v>1</v>
      </c>
      <c r="I76" s="11">
        <v>3</v>
      </c>
      <c r="J76" s="11">
        <v>3</v>
      </c>
      <c r="K76" s="11">
        <v>2</v>
      </c>
    </row>
    <row r="77" spans="4:11" ht="12.75" x14ac:dyDescent="0.2">
      <c r="D77" s="11">
        <v>1</v>
      </c>
      <c r="E77" s="11">
        <v>2</v>
      </c>
      <c r="F77" s="11">
        <v>1</v>
      </c>
      <c r="G77" s="11">
        <v>2</v>
      </c>
      <c r="H77" s="11">
        <v>1</v>
      </c>
      <c r="I77" s="11">
        <v>3</v>
      </c>
      <c r="J77" s="11">
        <v>3</v>
      </c>
      <c r="K77" s="11">
        <v>2</v>
      </c>
    </row>
    <row r="78" spans="4:11" ht="12.75" x14ac:dyDescent="0.2">
      <c r="D78" s="11">
        <v>1</v>
      </c>
      <c r="E78" s="11">
        <v>2</v>
      </c>
      <c r="F78" s="11">
        <v>1</v>
      </c>
      <c r="G78" s="11">
        <v>2</v>
      </c>
      <c r="H78" s="11">
        <v>1</v>
      </c>
      <c r="I78" s="11">
        <v>3</v>
      </c>
      <c r="J78" s="11">
        <v>3</v>
      </c>
      <c r="K78" s="11">
        <v>2</v>
      </c>
    </row>
    <row r="79" spans="4:11" ht="12.75" x14ac:dyDescent="0.2">
      <c r="D79" s="11">
        <v>1</v>
      </c>
      <c r="E79" s="11">
        <v>2</v>
      </c>
      <c r="F79" s="11">
        <v>1</v>
      </c>
      <c r="G79" s="11">
        <v>2</v>
      </c>
      <c r="H79" s="11">
        <v>1</v>
      </c>
      <c r="I79" s="11">
        <v>3</v>
      </c>
      <c r="J79" s="11">
        <v>3</v>
      </c>
      <c r="K79" s="11">
        <v>2</v>
      </c>
    </row>
    <row r="80" spans="4:11" ht="12.75" x14ac:dyDescent="0.2">
      <c r="D80" s="11">
        <v>1</v>
      </c>
      <c r="E80" s="11">
        <v>2</v>
      </c>
      <c r="F80" s="11">
        <v>1</v>
      </c>
      <c r="G80" s="11">
        <v>2</v>
      </c>
      <c r="H80" s="11">
        <v>1</v>
      </c>
      <c r="I80" s="11">
        <v>3</v>
      </c>
      <c r="J80" s="11">
        <v>3</v>
      </c>
      <c r="K80" s="11">
        <v>2</v>
      </c>
    </row>
    <row r="81" spans="4:11" ht="12.75" x14ac:dyDescent="0.2">
      <c r="D81" s="11">
        <v>1</v>
      </c>
      <c r="E81" s="11">
        <v>2</v>
      </c>
      <c r="F81" s="11">
        <v>1</v>
      </c>
      <c r="G81" s="11">
        <v>2</v>
      </c>
      <c r="H81" s="11">
        <v>1</v>
      </c>
      <c r="I81" s="11">
        <v>3</v>
      </c>
      <c r="J81" s="11">
        <v>3</v>
      </c>
      <c r="K81" s="11">
        <v>2</v>
      </c>
    </row>
    <row r="82" spans="4:11" ht="12.75" x14ac:dyDescent="0.2">
      <c r="D82" s="11">
        <v>1</v>
      </c>
      <c r="E82" s="11">
        <v>2</v>
      </c>
      <c r="F82" s="11">
        <v>1</v>
      </c>
      <c r="G82" s="11">
        <v>2</v>
      </c>
      <c r="H82" s="11">
        <v>1</v>
      </c>
      <c r="I82" s="11">
        <v>3</v>
      </c>
      <c r="J82" s="11">
        <v>3</v>
      </c>
      <c r="K82" s="11">
        <v>2</v>
      </c>
    </row>
    <row r="83" spans="4:11" ht="12.75" x14ac:dyDescent="0.2">
      <c r="D83" s="11">
        <v>1</v>
      </c>
      <c r="E83" s="11">
        <v>2</v>
      </c>
      <c r="F83" s="11">
        <v>1</v>
      </c>
      <c r="G83" s="11">
        <v>2</v>
      </c>
      <c r="H83" s="11">
        <v>1</v>
      </c>
      <c r="I83" s="11">
        <v>3</v>
      </c>
      <c r="J83" s="11">
        <v>3</v>
      </c>
      <c r="K83" s="11">
        <v>2</v>
      </c>
    </row>
    <row r="84" spans="4:11" ht="12.75" x14ac:dyDescent="0.2">
      <c r="D84" s="11">
        <v>1</v>
      </c>
      <c r="E84" s="11">
        <v>2</v>
      </c>
      <c r="F84" s="11">
        <v>1</v>
      </c>
      <c r="G84" s="11">
        <v>2</v>
      </c>
      <c r="H84" s="11">
        <v>1</v>
      </c>
      <c r="I84" s="11">
        <v>3</v>
      </c>
      <c r="J84" s="11">
        <v>3</v>
      </c>
      <c r="K84" s="11">
        <v>2</v>
      </c>
    </row>
    <row r="85" spans="4:11" ht="12.75" x14ac:dyDescent="0.2">
      <c r="D85" s="11">
        <v>1</v>
      </c>
      <c r="E85" s="11">
        <v>2</v>
      </c>
      <c r="F85" s="11">
        <v>1</v>
      </c>
      <c r="G85" s="11">
        <v>2</v>
      </c>
      <c r="H85" s="11">
        <v>1</v>
      </c>
      <c r="I85" s="11">
        <v>3</v>
      </c>
      <c r="J85" s="11">
        <v>3</v>
      </c>
      <c r="K85" s="11">
        <v>2</v>
      </c>
    </row>
    <row r="86" spans="4:11" ht="12.75" x14ac:dyDescent="0.2">
      <c r="D86" s="11">
        <v>1</v>
      </c>
      <c r="E86" s="11">
        <v>2</v>
      </c>
      <c r="F86" s="11">
        <v>1</v>
      </c>
      <c r="G86" s="11">
        <v>2</v>
      </c>
      <c r="H86" s="11">
        <v>1</v>
      </c>
      <c r="I86" s="11">
        <v>3</v>
      </c>
      <c r="J86" s="11">
        <v>3</v>
      </c>
      <c r="K86" s="11">
        <v>2</v>
      </c>
    </row>
    <row r="87" spans="4:11" ht="12.75" x14ac:dyDescent="0.2">
      <c r="D87" s="11">
        <v>1</v>
      </c>
      <c r="E87" s="11">
        <v>2</v>
      </c>
      <c r="F87" s="11">
        <v>1</v>
      </c>
      <c r="G87" s="11">
        <v>2</v>
      </c>
      <c r="H87" s="11">
        <v>1</v>
      </c>
      <c r="I87" s="11">
        <v>3</v>
      </c>
      <c r="J87" s="11">
        <v>3</v>
      </c>
      <c r="K87" s="11">
        <v>2</v>
      </c>
    </row>
    <row r="88" spans="4:11" ht="12.75" x14ac:dyDescent="0.2">
      <c r="D88" s="11">
        <v>1</v>
      </c>
      <c r="E88" s="11">
        <v>2</v>
      </c>
      <c r="F88" s="11">
        <v>1</v>
      </c>
      <c r="G88" s="11">
        <v>2</v>
      </c>
      <c r="H88" s="11">
        <v>1</v>
      </c>
      <c r="I88" s="11">
        <v>3</v>
      </c>
      <c r="J88" s="11">
        <v>3</v>
      </c>
      <c r="K88" s="11">
        <v>2</v>
      </c>
    </row>
    <row r="89" spans="4:11" ht="12.75" x14ac:dyDescent="0.2">
      <c r="D89" s="11">
        <v>1</v>
      </c>
      <c r="E89" s="11">
        <v>2</v>
      </c>
      <c r="F89" s="11">
        <v>1</v>
      </c>
      <c r="G89" s="11">
        <v>2</v>
      </c>
      <c r="H89" s="11">
        <v>1</v>
      </c>
      <c r="I89" s="11">
        <v>3</v>
      </c>
      <c r="J89" s="11">
        <v>3</v>
      </c>
      <c r="K89" s="11">
        <v>2</v>
      </c>
    </row>
    <row r="90" spans="4:11" ht="12.75" x14ac:dyDescent="0.2">
      <c r="D90" s="11">
        <v>1</v>
      </c>
      <c r="E90" s="11">
        <v>2</v>
      </c>
      <c r="F90" s="11">
        <v>1</v>
      </c>
      <c r="G90" s="11">
        <v>2</v>
      </c>
      <c r="H90" s="11">
        <v>1</v>
      </c>
      <c r="I90" s="11">
        <v>3</v>
      </c>
      <c r="J90" s="11">
        <v>3</v>
      </c>
      <c r="K90" s="11">
        <v>2</v>
      </c>
    </row>
    <row r="91" spans="4:11" ht="12.75" x14ac:dyDescent="0.2">
      <c r="D91" s="11">
        <v>1</v>
      </c>
      <c r="E91" s="11">
        <v>2</v>
      </c>
      <c r="F91" s="11">
        <v>1</v>
      </c>
      <c r="G91" s="11">
        <v>2</v>
      </c>
      <c r="H91" s="11">
        <v>1</v>
      </c>
      <c r="I91" s="11">
        <v>3</v>
      </c>
      <c r="J91" s="11">
        <v>3</v>
      </c>
      <c r="K91" s="11">
        <v>2</v>
      </c>
    </row>
    <row r="92" spans="4:11" ht="12.75" x14ac:dyDescent="0.2">
      <c r="D92" s="11">
        <v>1</v>
      </c>
      <c r="E92" s="11">
        <v>2</v>
      </c>
      <c r="F92" s="11">
        <v>1</v>
      </c>
      <c r="G92" s="11">
        <v>2</v>
      </c>
      <c r="H92" s="11">
        <v>1</v>
      </c>
      <c r="I92" s="11">
        <v>3</v>
      </c>
      <c r="J92" s="11">
        <v>3</v>
      </c>
      <c r="K92" s="11">
        <v>2</v>
      </c>
    </row>
    <row r="93" spans="4:11" ht="12.75" x14ac:dyDescent="0.2">
      <c r="D93" s="11">
        <v>1</v>
      </c>
      <c r="E93" s="11">
        <v>2</v>
      </c>
      <c r="F93" s="11">
        <v>1</v>
      </c>
      <c r="G93" s="11">
        <v>2</v>
      </c>
      <c r="H93" s="11">
        <v>1</v>
      </c>
      <c r="I93" s="11">
        <v>3</v>
      </c>
      <c r="J93" s="11">
        <v>3</v>
      </c>
      <c r="K93" s="11">
        <v>2</v>
      </c>
    </row>
    <row r="94" spans="4:11" ht="12.75" x14ac:dyDescent="0.2">
      <c r="D94" s="11">
        <v>1</v>
      </c>
      <c r="E94" s="11">
        <v>2</v>
      </c>
      <c r="F94" s="11">
        <v>1</v>
      </c>
      <c r="G94" s="11">
        <v>2</v>
      </c>
      <c r="H94" s="11">
        <v>1</v>
      </c>
      <c r="I94" s="11">
        <v>3</v>
      </c>
      <c r="J94" s="11">
        <v>3</v>
      </c>
      <c r="K94" s="11">
        <v>2</v>
      </c>
    </row>
    <row r="95" spans="4:11" ht="12.75" x14ac:dyDescent="0.2">
      <c r="D95" s="11">
        <v>1</v>
      </c>
      <c r="E95" s="11">
        <v>2</v>
      </c>
      <c r="F95" s="11">
        <v>1</v>
      </c>
      <c r="G95" s="11">
        <v>2</v>
      </c>
      <c r="H95" s="11">
        <v>1</v>
      </c>
      <c r="I95" s="11">
        <v>3</v>
      </c>
      <c r="J95" s="11">
        <v>3</v>
      </c>
      <c r="K95" s="11">
        <v>2</v>
      </c>
    </row>
    <row r="96" spans="4:11" ht="12.75" x14ac:dyDescent="0.2">
      <c r="D96" s="11">
        <v>1</v>
      </c>
      <c r="E96" s="11">
        <v>2</v>
      </c>
      <c r="F96" s="11">
        <v>1</v>
      </c>
      <c r="G96" s="11">
        <v>2</v>
      </c>
      <c r="H96" s="11">
        <v>1</v>
      </c>
      <c r="I96" s="11">
        <v>3</v>
      </c>
      <c r="J96" s="11">
        <v>3</v>
      </c>
      <c r="K96" s="11">
        <v>2</v>
      </c>
    </row>
    <row r="97" spans="4:11" ht="12.75" x14ac:dyDescent="0.2">
      <c r="D97" s="11">
        <v>1</v>
      </c>
      <c r="E97" s="11">
        <v>2</v>
      </c>
      <c r="F97" s="11">
        <v>1</v>
      </c>
      <c r="G97" s="11">
        <v>2</v>
      </c>
      <c r="H97" s="11">
        <v>1</v>
      </c>
      <c r="I97" s="11">
        <v>3</v>
      </c>
      <c r="J97" s="11">
        <v>3</v>
      </c>
      <c r="K97" s="11">
        <v>2</v>
      </c>
    </row>
    <row r="98" spans="4:11" ht="12.75" x14ac:dyDescent="0.2">
      <c r="D98" s="11">
        <v>1</v>
      </c>
      <c r="E98" s="11">
        <v>2</v>
      </c>
      <c r="F98" s="11">
        <v>1</v>
      </c>
      <c r="G98" s="11">
        <v>2</v>
      </c>
      <c r="H98" s="11">
        <v>1</v>
      </c>
      <c r="I98" s="11">
        <v>3</v>
      </c>
      <c r="J98" s="11">
        <v>3</v>
      </c>
      <c r="K98" s="11">
        <v>2</v>
      </c>
    </row>
  </sheetData>
  <dataValidations count="2">
    <dataValidation type="list" allowBlank="1" sqref="D2:D37" xr:uid="{00000000-0002-0000-0300-000000000000}">
      <formula1>"True,False"</formula1>
    </dataValidation>
    <dataValidation type="custom" allowBlank="1" showDropDown="1" sqref="B2:C37 E2:K37" xr:uid="{00000000-0002-0000-03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7.5703125" customWidth="1"/>
    <col min="2" max="2" width="16.85546875" customWidth="1"/>
    <col min="3" max="3" width="25.42578125" customWidth="1"/>
    <col min="4" max="4" width="17.140625" customWidth="1"/>
    <col min="5" max="5" width="22.28515625" customWidth="1"/>
    <col min="6" max="6" width="17" customWidth="1"/>
    <col min="7" max="7" width="22.42578125" customWidth="1"/>
    <col min="8" max="8" width="21.85546875" customWidth="1"/>
    <col min="9" max="9" width="25.7109375" customWidth="1"/>
    <col min="10" max="10" width="16.140625" customWidth="1"/>
    <col min="11" max="11" width="22.7109375" customWidth="1"/>
    <col min="12" max="23" width="13.85546875" customWidth="1"/>
  </cols>
  <sheetData>
    <row r="1" spans="1:11" ht="22.5" customHeight="1" x14ac:dyDescent="0.25">
      <c r="A1" s="1" t="s">
        <v>17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2" t="s">
        <v>19</v>
      </c>
      <c r="B2" s="3">
        <f>C2/B49 * 100</f>
        <v>57.74647887323944</v>
      </c>
      <c r="C2" s="2">
        <f>IF(D2, 1, 0) + (E2 * E49) + (F2 * F49) + (G2 * G49) + (H2 * H49) + (I2 * I49) + (J3 * J49) + (K2 * K49)</f>
        <v>41</v>
      </c>
      <c r="D2" s="2" t="b">
        <v>0</v>
      </c>
      <c r="E2" s="2">
        <v>0</v>
      </c>
      <c r="F2" s="2">
        <v>3</v>
      </c>
      <c r="G2" s="2">
        <v>4</v>
      </c>
      <c r="H2" s="2">
        <v>5</v>
      </c>
      <c r="I2" s="2">
        <v>2</v>
      </c>
      <c r="J2" s="14">
        <v>2</v>
      </c>
      <c r="K2" s="2">
        <v>5</v>
      </c>
    </row>
    <row r="3" spans="1:11" ht="22.5" customHeight="1" x14ac:dyDescent="0.25">
      <c r="A3" s="2" t="s">
        <v>20</v>
      </c>
      <c r="B3" s="3">
        <f>C3/B49 * 100</f>
        <v>59.154929577464785</v>
      </c>
      <c r="C3" s="2">
        <f t="shared" ref="C3:C37" si="0">IF(D3, 1, 0) + (E3 * E50) + (F3 * F50) + (G3 * G50) + (H3 * H50) + (I3 * I50) + (J3 * J50) + (K3 * K50)</f>
        <v>42</v>
      </c>
      <c r="D3" s="2" t="b">
        <v>1</v>
      </c>
      <c r="E3" s="2">
        <v>0</v>
      </c>
      <c r="F3" s="2">
        <v>3</v>
      </c>
      <c r="G3" s="2">
        <v>4</v>
      </c>
      <c r="H3" s="2">
        <v>5</v>
      </c>
      <c r="I3" s="2">
        <v>2</v>
      </c>
      <c r="J3" s="14">
        <v>3</v>
      </c>
      <c r="K3" s="2">
        <v>5</v>
      </c>
    </row>
    <row r="4" spans="1:11" ht="22.5" customHeight="1" x14ac:dyDescent="0.25">
      <c r="A4" s="2" t="s">
        <v>21</v>
      </c>
      <c r="B4" s="3">
        <f>C4/B49 * 100</f>
        <v>53.521126760563376</v>
      </c>
      <c r="C4" s="2">
        <f t="shared" si="0"/>
        <v>38</v>
      </c>
      <c r="D4" s="2" t="b">
        <v>0</v>
      </c>
      <c r="E4" s="12">
        <v>0</v>
      </c>
      <c r="F4" s="12">
        <v>3</v>
      </c>
      <c r="G4" s="12">
        <v>4</v>
      </c>
      <c r="H4" s="12">
        <v>5</v>
      </c>
      <c r="I4" s="12">
        <v>2</v>
      </c>
      <c r="J4" s="15">
        <v>2</v>
      </c>
      <c r="K4" s="13">
        <v>5</v>
      </c>
    </row>
    <row r="5" spans="1:11" ht="22.5" customHeight="1" x14ac:dyDescent="0.25">
      <c r="A5" s="2" t="s">
        <v>22</v>
      </c>
      <c r="B5" s="3">
        <f>C5/B49 * 100</f>
        <v>53.521126760563376</v>
      </c>
      <c r="C5" s="2">
        <f t="shared" si="0"/>
        <v>38</v>
      </c>
      <c r="D5" s="2" t="b">
        <v>0</v>
      </c>
      <c r="E5" s="12">
        <v>0</v>
      </c>
      <c r="F5" s="12">
        <v>3</v>
      </c>
      <c r="G5" s="12">
        <v>4</v>
      </c>
      <c r="H5" s="12">
        <v>5</v>
      </c>
      <c r="I5" s="12">
        <v>2</v>
      </c>
      <c r="J5" s="15">
        <v>2</v>
      </c>
      <c r="K5" s="13">
        <v>5</v>
      </c>
    </row>
    <row r="6" spans="1:11" ht="22.5" customHeight="1" x14ac:dyDescent="0.25">
      <c r="A6" s="2" t="s">
        <v>23</v>
      </c>
      <c r="B6" s="3">
        <f>C6/B49 * 100</f>
        <v>57.74647887323944</v>
      </c>
      <c r="C6" s="2">
        <f t="shared" si="0"/>
        <v>41</v>
      </c>
      <c r="D6" s="2" t="b">
        <v>0</v>
      </c>
      <c r="E6" s="12">
        <v>0</v>
      </c>
      <c r="F6" s="12">
        <v>3</v>
      </c>
      <c r="G6" s="12">
        <v>4</v>
      </c>
      <c r="H6" s="12">
        <v>5</v>
      </c>
      <c r="I6" s="12">
        <v>2</v>
      </c>
      <c r="J6" s="15">
        <v>3</v>
      </c>
      <c r="K6" s="13">
        <v>5</v>
      </c>
    </row>
    <row r="7" spans="1:11" ht="22.5" customHeight="1" x14ac:dyDescent="0.25">
      <c r="A7" s="2" t="s">
        <v>24</v>
      </c>
      <c r="B7" s="3">
        <f>C7/B49 * 100</f>
        <v>53.521126760563376</v>
      </c>
      <c r="C7" s="2">
        <f t="shared" si="0"/>
        <v>38</v>
      </c>
      <c r="D7" s="2" t="b">
        <v>0</v>
      </c>
      <c r="E7" s="12">
        <v>0</v>
      </c>
      <c r="F7" s="12">
        <v>3</v>
      </c>
      <c r="G7" s="12">
        <v>4</v>
      </c>
      <c r="H7" s="12">
        <v>5</v>
      </c>
      <c r="I7" s="12">
        <v>2</v>
      </c>
      <c r="J7" s="15">
        <v>2</v>
      </c>
      <c r="K7" s="13">
        <v>5</v>
      </c>
    </row>
    <row r="8" spans="1:11" ht="22.5" customHeight="1" x14ac:dyDescent="0.25">
      <c r="A8" s="2" t="s">
        <v>25</v>
      </c>
      <c r="B8" s="3">
        <f>C8/B49 * 100</f>
        <v>53.521126760563376</v>
      </c>
      <c r="C8" s="2">
        <f t="shared" si="0"/>
        <v>38</v>
      </c>
      <c r="D8" s="2" t="b">
        <v>0</v>
      </c>
      <c r="E8" s="12">
        <v>0</v>
      </c>
      <c r="F8" s="12">
        <v>3</v>
      </c>
      <c r="G8" s="12">
        <v>4</v>
      </c>
      <c r="H8" s="12">
        <v>5</v>
      </c>
      <c r="I8" s="12">
        <v>3</v>
      </c>
      <c r="J8" s="15">
        <v>1</v>
      </c>
      <c r="K8" s="13">
        <v>5</v>
      </c>
    </row>
    <row r="9" spans="1:11" ht="22.5" customHeight="1" x14ac:dyDescent="0.25">
      <c r="A9" s="2" t="s">
        <v>26</v>
      </c>
      <c r="B9" s="3">
        <f>C9/B49 * 100</f>
        <v>49.295774647887328</v>
      </c>
      <c r="C9" s="2">
        <f t="shared" si="0"/>
        <v>35</v>
      </c>
      <c r="D9" s="2" t="b">
        <v>0</v>
      </c>
      <c r="E9" s="12">
        <v>0</v>
      </c>
      <c r="F9" s="12">
        <v>3</v>
      </c>
      <c r="G9" s="12">
        <v>4</v>
      </c>
      <c r="H9" s="12">
        <v>5</v>
      </c>
      <c r="I9" s="12">
        <v>2</v>
      </c>
      <c r="J9" s="15">
        <v>1</v>
      </c>
      <c r="K9" s="2">
        <v>5</v>
      </c>
    </row>
    <row r="10" spans="1:11" ht="22.5" customHeight="1" x14ac:dyDescent="0.25">
      <c r="A10" s="2" t="s">
        <v>27</v>
      </c>
      <c r="B10" s="3">
        <f>C10/B49 * 100</f>
        <v>53.521126760563376</v>
      </c>
      <c r="C10" s="2">
        <f t="shared" si="0"/>
        <v>38</v>
      </c>
      <c r="D10" s="2" t="b">
        <v>0</v>
      </c>
      <c r="E10" s="16">
        <v>0</v>
      </c>
      <c r="F10" s="16">
        <v>3</v>
      </c>
      <c r="G10" s="16">
        <v>4</v>
      </c>
      <c r="H10" s="16">
        <v>5</v>
      </c>
      <c r="I10" s="16">
        <v>2</v>
      </c>
      <c r="J10" s="15">
        <v>2</v>
      </c>
      <c r="K10" s="2">
        <v>5</v>
      </c>
    </row>
    <row r="11" spans="1:11" ht="22.5" customHeight="1" x14ac:dyDescent="0.25">
      <c r="A11" s="2" t="s">
        <v>28</v>
      </c>
      <c r="B11" s="3">
        <f>C11/B49 * 100</f>
        <v>70.422535211267601</v>
      </c>
      <c r="C11" s="2">
        <f t="shared" si="0"/>
        <v>50</v>
      </c>
      <c r="D11" s="2" t="b">
        <v>0</v>
      </c>
      <c r="E11" s="16">
        <v>0</v>
      </c>
      <c r="F11" s="16">
        <v>3</v>
      </c>
      <c r="G11" s="16">
        <v>4</v>
      </c>
      <c r="H11" s="16">
        <v>5</v>
      </c>
      <c r="I11" s="16">
        <v>4</v>
      </c>
      <c r="J11" s="15">
        <v>4</v>
      </c>
      <c r="K11" s="2">
        <v>5</v>
      </c>
    </row>
    <row r="12" spans="1:11" ht="22.5" customHeight="1" x14ac:dyDescent="0.25">
      <c r="A12" s="2" t="s">
        <v>29</v>
      </c>
      <c r="B12" s="3">
        <f>C12/B49 * 100</f>
        <v>61.971830985915489</v>
      </c>
      <c r="C12" s="2">
        <f t="shared" si="0"/>
        <v>44</v>
      </c>
      <c r="D12" s="2" t="b">
        <v>0</v>
      </c>
      <c r="E12" s="16">
        <v>0</v>
      </c>
      <c r="F12" s="16">
        <v>3</v>
      </c>
      <c r="G12" s="16">
        <v>4</v>
      </c>
      <c r="H12" s="16">
        <v>5</v>
      </c>
      <c r="I12" s="16">
        <v>3</v>
      </c>
      <c r="J12" s="15">
        <v>3</v>
      </c>
      <c r="K12" s="2">
        <v>5</v>
      </c>
    </row>
    <row r="13" spans="1:11" ht="22.5" customHeight="1" x14ac:dyDescent="0.25">
      <c r="A13" s="2" t="s">
        <v>30</v>
      </c>
      <c r="B13" s="3">
        <f>C13/B49 * 100</f>
        <v>53.521126760563376</v>
      </c>
      <c r="C13" s="2">
        <f t="shared" si="0"/>
        <v>38</v>
      </c>
      <c r="D13" s="2" t="b">
        <v>0</v>
      </c>
      <c r="E13" s="16">
        <v>0</v>
      </c>
      <c r="F13" s="16">
        <v>3</v>
      </c>
      <c r="G13" s="16">
        <v>4</v>
      </c>
      <c r="H13" s="16">
        <v>5</v>
      </c>
      <c r="I13" s="16">
        <v>2</v>
      </c>
      <c r="J13" s="15">
        <v>2</v>
      </c>
      <c r="K13" s="2">
        <v>5</v>
      </c>
    </row>
    <row r="14" spans="1:11" ht="22.5" customHeight="1" x14ac:dyDescent="0.25">
      <c r="A14" s="2" t="s">
        <v>31</v>
      </c>
      <c r="B14" s="3">
        <f>C14/B49 * 100</f>
        <v>60.563380281690137</v>
      </c>
      <c r="C14" s="2">
        <f t="shared" si="0"/>
        <v>43</v>
      </c>
      <c r="D14" s="2" t="b">
        <v>0</v>
      </c>
      <c r="E14" s="16">
        <v>0</v>
      </c>
      <c r="F14" s="16">
        <v>3</v>
      </c>
      <c r="G14" s="16">
        <v>5</v>
      </c>
      <c r="H14" s="16">
        <v>5</v>
      </c>
      <c r="I14" s="16">
        <v>3</v>
      </c>
      <c r="J14" s="15">
        <v>2</v>
      </c>
      <c r="K14" s="2">
        <v>5</v>
      </c>
    </row>
    <row r="15" spans="1:11" ht="22.5" customHeight="1" x14ac:dyDescent="0.25">
      <c r="A15" s="2" t="s">
        <v>32</v>
      </c>
      <c r="B15" s="3">
        <f>C15/B49 * 100</f>
        <v>53.521126760563376</v>
      </c>
      <c r="C15" s="2">
        <f t="shared" si="0"/>
        <v>38</v>
      </c>
      <c r="D15" s="2" t="b">
        <v>0</v>
      </c>
      <c r="E15" s="16">
        <v>0</v>
      </c>
      <c r="F15" s="16">
        <v>3</v>
      </c>
      <c r="G15" s="16">
        <v>4</v>
      </c>
      <c r="H15" s="16">
        <v>5</v>
      </c>
      <c r="I15" s="16">
        <v>2</v>
      </c>
      <c r="J15" s="15">
        <v>2</v>
      </c>
      <c r="K15" s="2">
        <v>5</v>
      </c>
    </row>
    <row r="16" spans="1:11" ht="22.5" customHeight="1" x14ac:dyDescent="0.25">
      <c r="A16" s="2" t="s">
        <v>33</v>
      </c>
      <c r="B16" s="3">
        <f>C16/B49 * 100</f>
        <v>56.338028169014088</v>
      </c>
      <c r="C16" s="2">
        <f t="shared" si="0"/>
        <v>40</v>
      </c>
      <c r="D16" s="2" t="b">
        <v>0</v>
      </c>
      <c r="E16" s="16">
        <v>0</v>
      </c>
      <c r="F16" s="16">
        <v>3</v>
      </c>
      <c r="G16" s="16">
        <v>5</v>
      </c>
      <c r="H16" s="16">
        <v>5</v>
      </c>
      <c r="I16" s="16">
        <v>2</v>
      </c>
      <c r="J16" s="15">
        <v>2</v>
      </c>
      <c r="K16" s="2">
        <v>5</v>
      </c>
    </row>
    <row r="17" spans="1:11" ht="22.5" customHeight="1" x14ac:dyDescent="0.25">
      <c r="A17" s="2" t="s">
        <v>34</v>
      </c>
      <c r="B17" s="3">
        <f>C17/B49 * 100</f>
        <v>53.521126760563376</v>
      </c>
      <c r="C17" s="2">
        <f t="shared" si="0"/>
        <v>38</v>
      </c>
      <c r="D17" s="2" t="b">
        <v>0</v>
      </c>
      <c r="E17" s="16">
        <v>0</v>
      </c>
      <c r="F17" s="16">
        <v>3</v>
      </c>
      <c r="G17" s="16">
        <v>4</v>
      </c>
      <c r="H17" s="16">
        <v>5</v>
      </c>
      <c r="I17" s="16">
        <v>3</v>
      </c>
      <c r="J17" s="15">
        <v>1</v>
      </c>
      <c r="K17" s="2">
        <v>5</v>
      </c>
    </row>
    <row r="18" spans="1:11" ht="22.5" customHeight="1" x14ac:dyDescent="0.25">
      <c r="A18" s="2" t="s">
        <v>35</v>
      </c>
      <c r="B18" s="3">
        <f>C18/B49 * 100</f>
        <v>69.014084507042256</v>
      </c>
      <c r="C18" s="2">
        <f t="shared" si="0"/>
        <v>49</v>
      </c>
      <c r="D18" s="2" t="b">
        <v>0</v>
      </c>
      <c r="E18" s="16">
        <v>0</v>
      </c>
      <c r="F18" s="16">
        <v>3</v>
      </c>
      <c r="G18" s="16">
        <v>5</v>
      </c>
      <c r="H18" s="16">
        <v>5</v>
      </c>
      <c r="I18" s="16">
        <v>3</v>
      </c>
      <c r="J18" s="15">
        <v>4</v>
      </c>
      <c r="K18" s="2">
        <v>5</v>
      </c>
    </row>
    <row r="19" spans="1:11" ht="22.5" customHeight="1" x14ac:dyDescent="0.25">
      <c r="A19" s="2" t="s">
        <v>36</v>
      </c>
      <c r="B19" s="3">
        <f>C19/B49 * 100</f>
        <v>69.014084507042256</v>
      </c>
      <c r="C19" s="2">
        <f t="shared" si="0"/>
        <v>49</v>
      </c>
      <c r="D19" s="2" t="b">
        <v>0</v>
      </c>
      <c r="E19" s="16">
        <v>0</v>
      </c>
      <c r="F19" s="16">
        <v>3</v>
      </c>
      <c r="G19" s="16">
        <v>5</v>
      </c>
      <c r="H19" s="16">
        <v>5</v>
      </c>
      <c r="I19" s="16">
        <v>3</v>
      </c>
      <c r="J19" s="15">
        <v>4</v>
      </c>
      <c r="K19" s="2">
        <v>5</v>
      </c>
    </row>
    <row r="20" spans="1:11" ht="22.5" customHeight="1" x14ac:dyDescent="0.25">
      <c r="A20" s="2" t="s">
        <v>37</v>
      </c>
      <c r="B20" s="3">
        <f>C20/B49 * 100</f>
        <v>50.704225352112672</v>
      </c>
      <c r="C20" s="2">
        <f t="shared" si="0"/>
        <v>36</v>
      </c>
      <c r="D20" s="2" t="b">
        <v>0</v>
      </c>
      <c r="E20" s="16">
        <v>0</v>
      </c>
      <c r="F20" s="16">
        <v>3</v>
      </c>
      <c r="G20" s="16">
        <v>3</v>
      </c>
      <c r="H20" s="16">
        <v>5</v>
      </c>
      <c r="I20" s="16">
        <v>2</v>
      </c>
      <c r="J20" s="15">
        <v>2</v>
      </c>
      <c r="K20" s="2">
        <v>5</v>
      </c>
    </row>
    <row r="21" spans="1:11" ht="22.5" customHeight="1" x14ac:dyDescent="0.25">
      <c r="A21" s="2" t="s">
        <v>38</v>
      </c>
      <c r="B21" s="3">
        <f>C21/B49 * 100</f>
        <v>46.478873239436616</v>
      </c>
      <c r="C21" s="2">
        <f t="shared" si="0"/>
        <v>33</v>
      </c>
      <c r="D21" s="2" t="b">
        <v>0</v>
      </c>
      <c r="E21" s="16">
        <v>0</v>
      </c>
      <c r="F21" s="16">
        <v>3</v>
      </c>
      <c r="G21" s="16">
        <v>3</v>
      </c>
      <c r="H21" s="16">
        <v>5</v>
      </c>
      <c r="I21" s="16">
        <v>1</v>
      </c>
      <c r="J21" s="15">
        <v>2</v>
      </c>
      <c r="K21" s="2">
        <v>5</v>
      </c>
    </row>
    <row r="22" spans="1:11" ht="22.5" customHeight="1" x14ac:dyDescent="0.25">
      <c r="A22" s="2" t="s">
        <v>39</v>
      </c>
      <c r="B22" s="3">
        <f>C22/B49 * 100</f>
        <v>46.478873239436616</v>
      </c>
      <c r="C22" s="2">
        <f t="shared" si="0"/>
        <v>33</v>
      </c>
      <c r="D22" s="2" t="b">
        <v>0</v>
      </c>
      <c r="E22" s="16">
        <v>0</v>
      </c>
      <c r="F22" s="16">
        <v>3</v>
      </c>
      <c r="G22" s="16">
        <v>3</v>
      </c>
      <c r="H22" s="16">
        <v>5</v>
      </c>
      <c r="I22" s="16">
        <v>1</v>
      </c>
      <c r="J22" s="15">
        <v>2</v>
      </c>
      <c r="K22" s="2">
        <v>5</v>
      </c>
    </row>
    <row r="23" spans="1:11" ht="22.5" customHeight="1" x14ac:dyDescent="0.25">
      <c r="A23" s="2" t="s">
        <v>40</v>
      </c>
      <c r="B23" s="3">
        <f>C23/B49 * 100</f>
        <v>50.704225352112672</v>
      </c>
      <c r="C23" s="2">
        <f t="shared" si="0"/>
        <v>36</v>
      </c>
      <c r="D23" s="2" t="b">
        <v>0</v>
      </c>
      <c r="E23" s="16">
        <v>0</v>
      </c>
      <c r="F23" s="16">
        <v>3</v>
      </c>
      <c r="G23" s="16">
        <v>3</v>
      </c>
      <c r="H23" s="16">
        <v>5</v>
      </c>
      <c r="I23" s="16">
        <v>2</v>
      </c>
      <c r="J23" s="15">
        <v>2</v>
      </c>
      <c r="K23" s="2">
        <v>5</v>
      </c>
    </row>
    <row r="24" spans="1:11" ht="22.5" customHeight="1" x14ac:dyDescent="0.25">
      <c r="A24" s="2" t="s">
        <v>41</v>
      </c>
      <c r="B24" s="3">
        <f>C24/B49 * 100</f>
        <v>54.929577464788736</v>
      </c>
      <c r="C24" s="2">
        <f t="shared" si="0"/>
        <v>39</v>
      </c>
      <c r="D24" s="2" t="b">
        <v>0</v>
      </c>
      <c r="E24" s="16">
        <v>0</v>
      </c>
      <c r="F24" s="16">
        <v>3</v>
      </c>
      <c r="G24" s="16">
        <v>3</v>
      </c>
      <c r="H24" s="16">
        <v>5</v>
      </c>
      <c r="I24" s="16">
        <v>3</v>
      </c>
      <c r="J24" s="15">
        <v>2</v>
      </c>
      <c r="K24" s="2">
        <v>5</v>
      </c>
    </row>
    <row r="25" spans="1:11" ht="22.5" customHeight="1" x14ac:dyDescent="0.25">
      <c r="A25" s="2" t="s">
        <v>42</v>
      </c>
      <c r="B25" s="3">
        <f>C25/B49 * 100</f>
        <v>49.295774647887328</v>
      </c>
      <c r="C25" s="2">
        <f t="shared" si="0"/>
        <v>35</v>
      </c>
      <c r="D25" s="2" t="b">
        <v>0</v>
      </c>
      <c r="E25" s="16">
        <v>0</v>
      </c>
      <c r="F25" s="16">
        <v>3</v>
      </c>
      <c r="G25" s="16">
        <v>4</v>
      </c>
      <c r="H25" s="16">
        <v>5</v>
      </c>
      <c r="I25" s="16">
        <v>1</v>
      </c>
      <c r="J25" s="15">
        <v>2</v>
      </c>
      <c r="K25" s="2">
        <v>5</v>
      </c>
    </row>
    <row r="26" spans="1:11" ht="22.5" customHeight="1" x14ac:dyDescent="0.25">
      <c r="A26" s="2" t="s">
        <v>43</v>
      </c>
      <c r="B26" s="3">
        <f>C26/B49 * 100</f>
        <v>66.197183098591552</v>
      </c>
      <c r="C26" s="2">
        <f t="shared" si="0"/>
        <v>47</v>
      </c>
      <c r="D26" s="2" t="b">
        <v>1</v>
      </c>
      <c r="E26" s="16">
        <v>1</v>
      </c>
      <c r="F26" s="16">
        <v>3</v>
      </c>
      <c r="G26" s="16">
        <v>4</v>
      </c>
      <c r="H26" s="16">
        <v>5</v>
      </c>
      <c r="I26" s="16">
        <v>3</v>
      </c>
      <c r="J26" s="15">
        <v>3</v>
      </c>
      <c r="K26" s="2">
        <v>5</v>
      </c>
    </row>
    <row r="27" spans="1:11" ht="22.5" customHeight="1" x14ac:dyDescent="0.25">
      <c r="A27" s="2" t="s">
        <v>44</v>
      </c>
      <c r="B27" s="3">
        <f>C27/B49 * 100</f>
        <v>66.197183098591552</v>
      </c>
      <c r="C27" s="2">
        <f t="shared" si="0"/>
        <v>47</v>
      </c>
      <c r="D27" s="2" t="b">
        <v>1</v>
      </c>
      <c r="E27" s="16">
        <v>1</v>
      </c>
      <c r="F27" s="16">
        <v>3</v>
      </c>
      <c r="G27" s="16">
        <v>4</v>
      </c>
      <c r="H27" s="16">
        <v>5</v>
      </c>
      <c r="I27" s="16">
        <v>3</v>
      </c>
      <c r="J27" s="15">
        <v>3</v>
      </c>
      <c r="K27" s="2">
        <v>5</v>
      </c>
    </row>
    <row r="28" spans="1:11" ht="22.5" customHeight="1" x14ac:dyDescent="0.25">
      <c r="A28" s="2" t="s">
        <v>45</v>
      </c>
      <c r="B28" s="3">
        <f>C28/B49 * 100</f>
        <v>57.74647887323944</v>
      </c>
      <c r="C28" s="2">
        <f t="shared" si="0"/>
        <v>41</v>
      </c>
      <c r="D28" s="2" t="b">
        <v>0</v>
      </c>
      <c r="E28" s="16">
        <v>0</v>
      </c>
      <c r="F28" s="16">
        <v>3</v>
      </c>
      <c r="G28" s="16">
        <v>4</v>
      </c>
      <c r="H28" s="16">
        <v>5</v>
      </c>
      <c r="I28" s="16">
        <v>2</v>
      </c>
      <c r="J28" s="15">
        <v>3</v>
      </c>
      <c r="K28" s="2">
        <v>5</v>
      </c>
    </row>
    <row r="29" spans="1:11" ht="22.5" customHeight="1" x14ac:dyDescent="0.25">
      <c r="A29" s="2" t="s">
        <v>46</v>
      </c>
      <c r="B29" s="3">
        <f>C29/B49 * 100</f>
        <v>77.464788732394368</v>
      </c>
      <c r="C29" s="2">
        <f t="shared" si="0"/>
        <v>55</v>
      </c>
      <c r="D29" s="2" t="b">
        <v>0</v>
      </c>
      <c r="E29" s="16">
        <v>0</v>
      </c>
      <c r="F29" s="16">
        <v>3</v>
      </c>
      <c r="G29" s="16">
        <v>5</v>
      </c>
      <c r="H29" s="16">
        <v>5</v>
      </c>
      <c r="I29" s="16">
        <v>4</v>
      </c>
      <c r="J29" s="15">
        <v>5</v>
      </c>
      <c r="K29" s="2">
        <v>5</v>
      </c>
    </row>
    <row r="30" spans="1:11" ht="22.5" customHeight="1" x14ac:dyDescent="0.25">
      <c r="A30" s="2" t="s">
        <v>47</v>
      </c>
      <c r="B30" s="3">
        <f>C30/B49 * 100</f>
        <v>73.239436619718319</v>
      </c>
      <c r="C30" s="2">
        <f t="shared" si="0"/>
        <v>52</v>
      </c>
      <c r="D30" s="2" t="b">
        <v>0</v>
      </c>
      <c r="E30" s="16">
        <v>0</v>
      </c>
      <c r="F30" s="16">
        <v>3</v>
      </c>
      <c r="G30" s="16">
        <v>5</v>
      </c>
      <c r="H30" s="16">
        <v>5</v>
      </c>
      <c r="I30" s="16">
        <v>4</v>
      </c>
      <c r="J30" s="15">
        <v>4</v>
      </c>
      <c r="K30" s="2">
        <v>5</v>
      </c>
    </row>
    <row r="31" spans="1:11" ht="22.5" customHeight="1" x14ac:dyDescent="0.25">
      <c r="A31" s="2" t="s">
        <v>48</v>
      </c>
      <c r="B31" s="3">
        <f>C31/B49 * 100</f>
        <v>69.014084507042256</v>
      </c>
      <c r="C31" s="2">
        <f t="shared" si="0"/>
        <v>49</v>
      </c>
      <c r="D31" s="2" t="b">
        <v>0</v>
      </c>
      <c r="E31" s="16">
        <v>0</v>
      </c>
      <c r="F31" s="16">
        <v>3</v>
      </c>
      <c r="G31" s="16">
        <v>5</v>
      </c>
      <c r="H31" s="16">
        <v>5</v>
      </c>
      <c r="I31" s="16">
        <v>3</v>
      </c>
      <c r="J31" s="15">
        <v>4</v>
      </c>
      <c r="K31" s="2">
        <v>5</v>
      </c>
    </row>
    <row r="32" spans="1:11" ht="22.5" customHeight="1" x14ac:dyDescent="0.25">
      <c r="A32" s="2" t="s">
        <v>49</v>
      </c>
      <c r="B32" s="3">
        <f>C32/B49 * 100</f>
        <v>50.704225352112672</v>
      </c>
      <c r="C32" s="2">
        <f t="shared" si="0"/>
        <v>36</v>
      </c>
      <c r="D32" s="2" t="b">
        <v>0</v>
      </c>
      <c r="E32" s="16">
        <v>0</v>
      </c>
      <c r="F32" s="16">
        <v>3</v>
      </c>
      <c r="G32" s="16">
        <v>3</v>
      </c>
      <c r="H32" s="16">
        <v>5</v>
      </c>
      <c r="I32" s="16">
        <v>3</v>
      </c>
      <c r="J32" s="15">
        <v>1</v>
      </c>
      <c r="K32" s="2">
        <v>5</v>
      </c>
    </row>
    <row r="33" spans="1:11" ht="22.5" customHeight="1" x14ac:dyDescent="0.25">
      <c r="A33" s="2" t="s">
        <v>50</v>
      </c>
      <c r="B33" s="3">
        <f>C33/B49 * 100</f>
        <v>54.929577464788736</v>
      </c>
      <c r="C33" s="2">
        <f t="shared" si="0"/>
        <v>39</v>
      </c>
      <c r="D33" s="2" t="b">
        <v>1</v>
      </c>
      <c r="E33" s="16">
        <v>1</v>
      </c>
      <c r="F33" s="16">
        <v>3</v>
      </c>
      <c r="G33" s="16">
        <v>3</v>
      </c>
      <c r="H33" s="16">
        <v>5</v>
      </c>
      <c r="I33" s="16">
        <v>3</v>
      </c>
      <c r="J33" s="15">
        <v>1</v>
      </c>
      <c r="K33" s="2">
        <v>5</v>
      </c>
    </row>
    <row r="34" spans="1:11" ht="22.5" customHeight="1" x14ac:dyDescent="0.25">
      <c r="A34" s="2" t="s">
        <v>51</v>
      </c>
      <c r="B34" s="3">
        <f>C34/B49 * 100</f>
        <v>59.154929577464785</v>
      </c>
      <c r="C34" s="2">
        <f t="shared" si="0"/>
        <v>42</v>
      </c>
      <c r="D34" s="2" t="b">
        <v>1</v>
      </c>
      <c r="E34" s="16">
        <v>1</v>
      </c>
      <c r="F34" s="16">
        <v>3</v>
      </c>
      <c r="G34" s="16">
        <v>3</v>
      </c>
      <c r="H34" s="16">
        <v>5</v>
      </c>
      <c r="I34" s="16">
        <v>3</v>
      </c>
      <c r="J34" s="15">
        <v>2</v>
      </c>
      <c r="K34" s="2">
        <v>5</v>
      </c>
    </row>
    <row r="35" spans="1:11" ht="22.5" customHeight="1" x14ac:dyDescent="0.25">
      <c r="A35" s="2" t="s">
        <v>52</v>
      </c>
      <c r="B35" s="3">
        <f>C35/B49 * 100</f>
        <v>50.704225352112672</v>
      </c>
      <c r="C35" s="2">
        <f t="shared" si="0"/>
        <v>36</v>
      </c>
      <c r="D35" s="2" t="b">
        <v>0</v>
      </c>
      <c r="E35" s="16">
        <v>0</v>
      </c>
      <c r="F35" s="16">
        <v>3</v>
      </c>
      <c r="G35" s="16">
        <v>3</v>
      </c>
      <c r="H35" s="16">
        <v>5</v>
      </c>
      <c r="I35" s="16">
        <v>2</v>
      </c>
      <c r="J35" s="15">
        <v>2</v>
      </c>
      <c r="K35" s="2">
        <v>5</v>
      </c>
    </row>
    <row r="36" spans="1:11" ht="22.5" customHeight="1" x14ac:dyDescent="0.25">
      <c r="A36" s="2" t="s">
        <v>53</v>
      </c>
      <c r="B36" s="3">
        <f>C36/B49 * 100</f>
        <v>42.25352112676056</v>
      </c>
      <c r="C36" s="2">
        <f t="shared" si="0"/>
        <v>30</v>
      </c>
      <c r="D36" s="2" t="b">
        <v>0</v>
      </c>
      <c r="E36" s="16">
        <v>0</v>
      </c>
      <c r="F36" s="16">
        <v>3</v>
      </c>
      <c r="G36" s="16">
        <v>3</v>
      </c>
      <c r="H36" s="16">
        <v>5</v>
      </c>
      <c r="I36" s="16">
        <v>1</v>
      </c>
      <c r="J36" s="15">
        <v>1</v>
      </c>
      <c r="K36" s="2">
        <v>5</v>
      </c>
    </row>
    <row r="37" spans="1:11" ht="22.5" customHeight="1" x14ac:dyDescent="0.25">
      <c r="A37" s="2" t="s">
        <v>54</v>
      </c>
      <c r="B37" s="3">
        <f>C37/B49 * 100</f>
        <v>50.704225352112672</v>
      </c>
      <c r="C37" s="2">
        <f t="shared" si="0"/>
        <v>36</v>
      </c>
      <c r="D37" s="2" t="b">
        <v>0</v>
      </c>
      <c r="E37" s="16">
        <v>0</v>
      </c>
      <c r="F37" s="16">
        <v>3</v>
      </c>
      <c r="G37" s="16">
        <v>3</v>
      </c>
      <c r="H37" s="16">
        <v>5</v>
      </c>
      <c r="I37" s="16">
        <v>3</v>
      </c>
      <c r="J37" s="15">
        <v>1</v>
      </c>
      <c r="K37" s="2">
        <v>5</v>
      </c>
    </row>
    <row r="38" spans="1:11" ht="22.5" customHeight="1" x14ac:dyDescent="0.25">
      <c r="A38" s="2" t="s">
        <v>55</v>
      </c>
      <c r="B38" s="3">
        <f>MEDIAN(Tabela_3[Nota Final (%)])</f>
        <v>54.225352112676056</v>
      </c>
      <c r="C38" s="2">
        <f>MEDIAN(Tabela_3[Pontos Totais (max 71)])</f>
        <v>38.5</v>
      </c>
      <c r="D38" s="2"/>
      <c r="E38" s="3">
        <f>AVERAGE(Tabela_3[o texo é legivel?])</f>
        <v>0.1111111111111111</v>
      </c>
      <c r="F38" s="2">
        <f>AVERAGE(Tabela_3[Resolução])</f>
        <v>3</v>
      </c>
      <c r="G38" s="3">
        <f>AVERAGE(Tabela_3[Qualidade Visual])</f>
        <v>3.8888888888888888</v>
      </c>
      <c r="H38" s="2">
        <f>AVERAGE(Tabela_3[Enquadramento])</f>
        <v>5</v>
      </c>
      <c r="I38" s="3">
        <f>AVERAGE(Tabela_3[Alinhamento Prompt])</f>
        <v>2.4444444444444446</v>
      </c>
      <c r="J38" s="2">
        <f>MEDIAN(Tabela_3[Alucinações])</f>
        <v>2</v>
      </c>
      <c r="K38" s="2">
        <f>AVERAGE(Tabela_3[Tamanho Prompt])</f>
        <v>5</v>
      </c>
    </row>
    <row r="40" spans="1:11" ht="12.75" x14ac:dyDescent="0.2">
      <c r="J40" s="9" t="s">
        <v>59</v>
      </c>
    </row>
    <row r="49" spans="1:11" ht="12.75" x14ac:dyDescent="0.2">
      <c r="A49" s="10" t="s">
        <v>57</v>
      </c>
      <c r="B49" s="11">
        <f>1 + (5 * E49) + (5 * F49) + (5 * G49) + (5 * H49) + (5 * I49) + (5* J49) + (5* K49)</f>
        <v>71</v>
      </c>
      <c r="C49" s="10" t="s">
        <v>58</v>
      </c>
      <c r="D49" s="11">
        <v>1</v>
      </c>
      <c r="E49" s="11">
        <v>2</v>
      </c>
      <c r="F49" s="11">
        <v>1</v>
      </c>
      <c r="G49" s="11">
        <v>2</v>
      </c>
      <c r="H49" s="11">
        <v>1</v>
      </c>
      <c r="I49" s="11">
        <v>3</v>
      </c>
      <c r="J49" s="11">
        <v>3</v>
      </c>
      <c r="K49" s="11">
        <v>2</v>
      </c>
    </row>
    <row r="50" spans="1:11" ht="12.75" x14ac:dyDescent="0.2">
      <c r="D50" s="11">
        <v>1</v>
      </c>
      <c r="E50" s="11">
        <v>2</v>
      </c>
      <c r="F50" s="11">
        <v>1</v>
      </c>
      <c r="G50" s="11">
        <v>2</v>
      </c>
      <c r="H50" s="11">
        <v>1</v>
      </c>
      <c r="I50" s="11">
        <v>3</v>
      </c>
      <c r="J50" s="11">
        <v>3</v>
      </c>
      <c r="K50" s="11">
        <v>2</v>
      </c>
    </row>
    <row r="51" spans="1:11" ht="12.75" x14ac:dyDescent="0.2">
      <c r="D51" s="11">
        <v>1</v>
      </c>
      <c r="E51" s="11">
        <v>2</v>
      </c>
      <c r="F51" s="11">
        <v>1</v>
      </c>
      <c r="G51" s="11">
        <v>2</v>
      </c>
      <c r="H51" s="11">
        <v>1</v>
      </c>
      <c r="I51" s="11">
        <v>3</v>
      </c>
      <c r="J51" s="11">
        <v>3</v>
      </c>
      <c r="K51" s="11">
        <v>2</v>
      </c>
    </row>
    <row r="52" spans="1:11" ht="12.75" x14ac:dyDescent="0.2">
      <c r="D52" s="11">
        <v>1</v>
      </c>
      <c r="E52" s="11">
        <v>2</v>
      </c>
      <c r="F52" s="11">
        <v>1</v>
      </c>
      <c r="G52" s="11">
        <v>2</v>
      </c>
      <c r="H52" s="11">
        <v>1</v>
      </c>
      <c r="I52" s="11">
        <v>3</v>
      </c>
      <c r="J52" s="11">
        <v>3</v>
      </c>
      <c r="K52" s="11">
        <v>2</v>
      </c>
    </row>
    <row r="53" spans="1:11" ht="12.75" x14ac:dyDescent="0.2">
      <c r="D53" s="11">
        <v>1</v>
      </c>
      <c r="E53" s="11">
        <v>2</v>
      </c>
      <c r="F53" s="11">
        <v>1</v>
      </c>
      <c r="G53" s="11">
        <v>2</v>
      </c>
      <c r="H53" s="11">
        <v>1</v>
      </c>
      <c r="I53" s="11">
        <v>3</v>
      </c>
      <c r="J53" s="11">
        <v>3</v>
      </c>
      <c r="K53" s="11">
        <v>2</v>
      </c>
    </row>
    <row r="54" spans="1:11" ht="12.75" x14ac:dyDescent="0.2">
      <c r="D54" s="11">
        <v>1</v>
      </c>
      <c r="E54" s="11">
        <v>2</v>
      </c>
      <c r="F54" s="11">
        <v>1</v>
      </c>
      <c r="G54" s="11">
        <v>2</v>
      </c>
      <c r="H54" s="11">
        <v>1</v>
      </c>
      <c r="I54" s="11">
        <v>3</v>
      </c>
      <c r="J54" s="11">
        <v>3</v>
      </c>
      <c r="K54" s="11">
        <v>2</v>
      </c>
    </row>
    <row r="55" spans="1:11" ht="12.75" x14ac:dyDescent="0.2">
      <c r="D55" s="11">
        <v>1</v>
      </c>
      <c r="E55" s="11">
        <v>2</v>
      </c>
      <c r="F55" s="11">
        <v>1</v>
      </c>
      <c r="G55" s="11">
        <v>2</v>
      </c>
      <c r="H55" s="11">
        <v>1</v>
      </c>
      <c r="I55" s="11">
        <v>3</v>
      </c>
      <c r="J55" s="11">
        <v>3</v>
      </c>
      <c r="K55" s="11">
        <v>2</v>
      </c>
    </row>
    <row r="56" spans="1:11" ht="12.75" x14ac:dyDescent="0.2">
      <c r="D56" s="11">
        <v>1</v>
      </c>
      <c r="E56" s="11">
        <v>2</v>
      </c>
      <c r="F56" s="11">
        <v>1</v>
      </c>
      <c r="G56" s="11">
        <v>2</v>
      </c>
      <c r="H56" s="11">
        <v>1</v>
      </c>
      <c r="I56" s="11">
        <v>3</v>
      </c>
      <c r="J56" s="11">
        <v>3</v>
      </c>
      <c r="K56" s="11">
        <v>2</v>
      </c>
    </row>
    <row r="57" spans="1:11" ht="12.75" x14ac:dyDescent="0.2">
      <c r="D57" s="11">
        <v>1</v>
      </c>
      <c r="E57" s="11">
        <v>2</v>
      </c>
      <c r="F57" s="11">
        <v>1</v>
      </c>
      <c r="G57" s="11">
        <v>2</v>
      </c>
      <c r="H57" s="11">
        <v>1</v>
      </c>
      <c r="I57" s="11">
        <v>3</v>
      </c>
      <c r="J57" s="11">
        <v>3</v>
      </c>
      <c r="K57" s="11">
        <v>2</v>
      </c>
    </row>
    <row r="58" spans="1:11" ht="12.75" x14ac:dyDescent="0.2">
      <c r="D58" s="11">
        <v>1</v>
      </c>
      <c r="E58" s="11">
        <v>2</v>
      </c>
      <c r="F58" s="11">
        <v>1</v>
      </c>
      <c r="G58" s="11">
        <v>2</v>
      </c>
      <c r="H58" s="11">
        <v>1</v>
      </c>
      <c r="I58" s="11">
        <v>3</v>
      </c>
      <c r="J58" s="11">
        <v>3</v>
      </c>
      <c r="K58" s="11">
        <v>2</v>
      </c>
    </row>
    <row r="59" spans="1:11" ht="12.75" x14ac:dyDescent="0.2">
      <c r="D59" s="11">
        <v>1</v>
      </c>
      <c r="E59" s="11">
        <v>2</v>
      </c>
      <c r="F59" s="11">
        <v>1</v>
      </c>
      <c r="G59" s="11">
        <v>2</v>
      </c>
      <c r="H59" s="11">
        <v>1</v>
      </c>
      <c r="I59" s="11">
        <v>3</v>
      </c>
      <c r="J59" s="11">
        <v>3</v>
      </c>
      <c r="K59" s="11">
        <v>2</v>
      </c>
    </row>
    <row r="60" spans="1:11" ht="12.75" x14ac:dyDescent="0.2">
      <c r="D60" s="11">
        <v>1</v>
      </c>
      <c r="E60" s="11">
        <v>2</v>
      </c>
      <c r="F60" s="11">
        <v>1</v>
      </c>
      <c r="G60" s="11">
        <v>2</v>
      </c>
      <c r="H60" s="11">
        <v>1</v>
      </c>
      <c r="I60" s="11">
        <v>3</v>
      </c>
      <c r="J60" s="11">
        <v>3</v>
      </c>
      <c r="K60" s="11">
        <v>2</v>
      </c>
    </row>
    <row r="61" spans="1:11" ht="12.75" x14ac:dyDescent="0.2">
      <c r="D61" s="11">
        <v>1</v>
      </c>
      <c r="E61" s="11">
        <v>2</v>
      </c>
      <c r="F61" s="11">
        <v>1</v>
      </c>
      <c r="G61" s="11">
        <v>2</v>
      </c>
      <c r="H61" s="11">
        <v>1</v>
      </c>
      <c r="I61" s="11">
        <v>3</v>
      </c>
      <c r="J61" s="11">
        <v>3</v>
      </c>
      <c r="K61" s="11">
        <v>2</v>
      </c>
    </row>
    <row r="62" spans="1:11" ht="12.75" x14ac:dyDescent="0.2">
      <c r="D62" s="11">
        <v>1</v>
      </c>
      <c r="E62" s="11">
        <v>2</v>
      </c>
      <c r="F62" s="11">
        <v>1</v>
      </c>
      <c r="G62" s="11">
        <v>2</v>
      </c>
      <c r="H62" s="11">
        <v>1</v>
      </c>
      <c r="I62" s="11">
        <v>3</v>
      </c>
      <c r="J62" s="11">
        <v>3</v>
      </c>
      <c r="K62" s="11">
        <v>2</v>
      </c>
    </row>
    <row r="63" spans="1:11" ht="12.75" x14ac:dyDescent="0.2">
      <c r="D63" s="11">
        <v>1</v>
      </c>
      <c r="E63" s="11">
        <v>2</v>
      </c>
      <c r="F63" s="11">
        <v>1</v>
      </c>
      <c r="G63" s="11">
        <v>2</v>
      </c>
      <c r="H63" s="11">
        <v>1</v>
      </c>
      <c r="I63" s="11">
        <v>3</v>
      </c>
      <c r="J63" s="11">
        <v>3</v>
      </c>
      <c r="K63" s="11">
        <v>2</v>
      </c>
    </row>
    <row r="64" spans="1:11" ht="12.75" x14ac:dyDescent="0.2">
      <c r="D64" s="11">
        <v>1</v>
      </c>
      <c r="E64" s="11">
        <v>2</v>
      </c>
      <c r="F64" s="11">
        <v>1</v>
      </c>
      <c r="G64" s="11">
        <v>2</v>
      </c>
      <c r="H64" s="11">
        <v>1</v>
      </c>
      <c r="I64" s="11">
        <v>3</v>
      </c>
      <c r="J64" s="11">
        <v>3</v>
      </c>
      <c r="K64" s="11">
        <v>2</v>
      </c>
    </row>
    <row r="65" spans="4:11" ht="12.75" x14ac:dyDescent="0.2">
      <c r="D65" s="11">
        <v>1</v>
      </c>
      <c r="E65" s="11">
        <v>2</v>
      </c>
      <c r="F65" s="11">
        <v>1</v>
      </c>
      <c r="G65" s="11">
        <v>2</v>
      </c>
      <c r="H65" s="11">
        <v>1</v>
      </c>
      <c r="I65" s="11">
        <v>3</v>
      </c>
      <c r="J65" s="11">
        <v>3</v>
      </c>
      <c r="K65" s="11">
        <v>2</v>
      </c>
    </row>
    <row r="66" spans="4:11" ht="12.75" x14ac:dyDescent="0.2">
      <c r="D66" s="11">
        <v>1</v>
      </c>
      <c r="E66" s="11">
        <v>2</v>
      </c>
      <c r="F66" s="11">
        <v>1</v>
      </c>
      <c r="G66" s="11">
        <v>2</v>
      </c>
      <c r="H66" s="11">
        <v>1</v>
      </c>
      <c r="I66" s="11">
        <v>3</v>
      </c>
      <c r="J66" s="11">
        <v>3</v>
      </c>
      <c r="K66" s="11">
        <v>2</v>
      </c>
    </row>
    <row r="67" spans="4:11" ht="12.75" x14ac:dyDescent="0.2">
      <c r="D67" s="11">
        <v>1</v>
      </c>
      <c r="E67" s="11">
        <v>2</v>
      </c>
      <c r="F67" s="11">
        <v>1</v>
      </c>
      <c r="G67" s="11">
        <v>2</v>
      </c>
      <c r="H67" s="11">
        <v>1</v>
      </c>
      <c r="I67" s="11">
        <v>3</v>
      </c>
      <c r="J67" s="11">
        <v>3</v>
      </c>
      <c r="K67" s="11">
        <v>2</v>
      </c>
    </row>
    <row r="68" spans="4:11" ht="12.75" x14ac:dyDescent="0.2">
      <c r="D68" s="11">
        <v>1</v>
      </c>
      <c r="E68" s="11">
        <v>2</v>
      </c>
      <c r="F68" s="11">
        <v>1</v>
      </c>
      <c r="G68" s="11">
        <v>2</v>
      </c>
      <c r="H68" s="11">
        <v>1</v>
      </c>
      <c r="I68" s="11">
        <v>3</v>
      </c>
      <c r="J68" s="11">
        <v>3</v>
      </c>
      <c r="K68" s="11">
        <v>2</v>
      </c>
    </row>
    <row r="69" spans="4:11" ht="12.75" x14ac:dyDescent="0.2">
      <c r="D69" s="11">
        <v>1</v>
      </c>
      <c r="E69" s="11">
        <v>2</v>
      </c>
      <c r="F69" s="11">
        <v>1</v>
      </c>
      <c r="G69" s="11">
        <v>2</v>
      </c>
      <c r="H69" s="11">
        <v>1</v>
      </c>
      <c r="I69" s="11">
        <v>3</v>
      </c>
      <c r="J69" s="11">
        <v>3</v>
      </c>
      <c r="K69" s="11">
        <v>2</v>
      </c>
    </row>
    <row r="70" spans="4:11" ht="12.75" x14ac:dyDescent="0.2">
      <c r="D70" s="11">
        <v>1</v>
      </c>
      <c r="E70" s="11">
        <v>2</v>
      </c>
      <c r="F70" s="11">
        <v>1</v>
      </c>
      <c r="G70" s="11">
        <v>2</v>
      </c>
      <c r="H70" s="11">
        <v>1</v>
      </c>
      <c r="I70" s="11">
        <v>3</v>
      </c>
      <c r="J70" s="11">
        <v>3</v>
      </c>
      <c r="K70" s="11">
        <v>2</v>
      </c>
    </row>
    <row r="71" spans="4:11" ht="12.75" x14ac:dyDescent="0.2">
      <c r="D71" s="11">
        <v>1</v>
      </c>
      <c r="E71" s="11">
        <v>2</v>
      </c>
      <c r="F71" s="11">
        <v>1</v>
      </c>
      <c r="G71" s="11">
        <v>2</v>
      </c>
      <c r="H71" s="11">
        <v>1</v>
      </c>
      <c r="I71" s="11">
        <v>3</v>
      </c>
      <c r="J71" s="11">
        <v>3</v>
      </c>
      <c r="K71" s="11">
        <v>2</v>
      </c>
    </row>
    <row r="72" spans="4:11" ht="12.75" x14ac:dyDescent="0.2">
      <c r="D72" s="11">
        <v>1</v>
      </c>
      <c r="E72" s="11">
        <v>2</v>
      </c>
      <c r="F72" s="11">
        <v>1</v>
      </c>
      <c r="G72" s="11">
        <v>2</v>
      </c>
      <c r="H72" s="11">
        <v>1</v>
      </c>
      <c r="I72" s="11">
        <v>3</v>
      </c>
      <c r="J72" s="11">
        <v>3</v>
      </c>
      <c r="K72" s="11">
        <v>2</v>
      </c>
    </row>
    <row r="73" spans="4:11" ht="12.75" x14ac:dyDescent="0.2">
      <c r="D73" s="11">
        <v>1</v>
      </c>
      <c r="E73" s="11">
        <v>2</v>
      </c>
      <c r="F73" s="11">
        <v>1</v>
      </c>
      <c r="G73" s="11">
        <v>2</v>
      </c>
      <c r="H73" s="11">
        <v>1</v>
      </c>
      <c r="I73" s="11">
        <v>3</v>
      </c>
      <c r="J73" s="11">
        <v>3</v>
      </c>
      <c r="K73" s="11">
        <v>2</v>
      </c>
    </row>
    <row r="74" spans="4:11" ht="12.75" x14ac:dyDescent="0.2">
      <c r="D74" s="11">
        <v>1</v>
      </c>
      <c r="E74" s="11">
        <v>2</v>
      </c>
      <c r="F74" s="11">
        <v>1</v>
      </c>
      <c r="G74" s="11">
        <v>2</v>
      </c>
      <c r="H74" s="11">
        <v>1</v>
      </c>
      <c r="I74" s="11">
        <v>3</v>
      </c>
      <c r="J74" s="11">
        <v>3</v>
      </c>
      <c r="K74" s="11">
        <v>2</v>
      </c>
    </row>
    <row r="75" spans="4:11" ht="12.75" x14ac:dyDescent="0.2">
      <c r="D75" s="11">
        <v>1</v>
      </c>
      <c r="E75" s="11">
        <v>2</v>
      </c>
      <c r="F75" s="11">
        <v>1</v>
      </c>
      <c r="G75" s="11">
        <v>2</v>
      </c>
      <c r="H75" s="11">
        <v>1</v>
      </c>
      <c r="I75" s="11">
        <v>3</v>
      </c>
      <c r="J75" s="11">
        <v>3</v>
      </c>
      <c r="K75" s="11">
        <v>2</v>
      </c>
    </row>
    <row r="76" spans="4:11" ht="12.75" x14ac:dyDescent="0.2">
      <c r="D76" s="11">
        <v>1</v>
      </c>
      <c r="E76" s="11">
        <v>2</v>
      </c>
      <c r="F76" s="11">
        <v>1</v>
      </c>
      <c r="G76" s="11">
        <v>2</v>
      </c>
      <c r="H76" s="11">
        <v>1</v>
      </c>
      <c r="I76" s="11">
        <v>3</v>
      </c>
      <c r="J76" s="11">
        <v>3</v>
      </c>
      <c r="K76" s="11">
        <v>2</v>
      </c>
    </row>
    <row r="77" spans="4:11" ht="12.75" x14ac:dyDescent="0.2">
      <c r="D77" s="11">
        <v>1</v>
      </c>
      <c r="E77" s="11">
        <v>2</v>
      </c>
      <c r="F77" s="11">
        <v>1</v>
      </c>
      <c r="G77" s="11">
        <v>2</v>
      </c>
      <c r="H77" s="11">
        <v>1</v>
      </c>
      <c r="I77" s="11">
        <v>3</v>
      </c>
      <c r="J77" s="11">
        <v>3</v>
      </c>
      <c r="K77" s="11">
        <v>2</v>
      </c>
    </row>
    <row r="78" spans="4:11" ht="12.75" x14ac:dyDescent="0.2">
      <c r="D78" s="11">
        <v>1</v>
      </c>
      <c r="E78" s="11">
        <v>2</v>
      </c>
      <c r="F78" s="11">
        <v>1</v>
      </c>
      <c r="G78" s="11">
        <v>2</v>
      </c>
      <c r="H78" s="11">
        <v>1</v>
      </c>
      <c r="I78" s="11">
        <v>3</v>
      </c>
      <c r="J78" s="11">
        <v>3</v>
      </c>
      <c r="K78" s="11">
        <v>2</v>
      </c>
    </row>
    <row r="79" spans="4:11" ht="12.75" x14ac:dyDescent="0.2">
      <c r="D79" s="11">
        <v>1</v>
      </c>
      <c r="E79" s="11">
        <v>2</v>
      </c>
      <c r="F79" s="11">
        <v>1</v>
      </c>
      <c r="G79" s="11">
        <v>2</v>
      </c>
      <c r="H79" s="11">
        <v>1</v>
      </c>
      <c r="I79" s="11">
        <v>3</v>
      </c>
      <c r="J79" s="11">
        <v>3</v>
      </c>
      <c r="K79" s="11">
        <v>2</v>
      </c>
    </row>
    <row r="80" spans="4:11" ht="12.75" x14ac:dyDescent="0.2">
      <c r="D80" s="11">
        <v>1</v>
      </c>
      <c r="E80" s="11">
        <v>2</v>
      </c>
      <c r="F80" s="11">
        <v>1</v>
      </c>
      <c r="G80" s="11">
        <v>2</v>
      </c>
      <c r="H80" s="11">
        <v>1</v>
      </c>
      <c r="I80" s="11">
        <v>3</v>
      </c>
      <c r="J80" s="11">
        <v>3</v>
      </c>
      <c r="K80" s="11">
        <v>2</v>
      </c>
    </row>
    <row r="81" spans="4:11" ht="12.75" x14ac:dyDescent="0.2">
      <c r="D81" s="11">
        <v>1</v>
      </c>
      <c r="E81" s="11">
        <v>2</v>
      </c>
      <c r="F81" s="11">
        <v>1</v>
      </c>
      <c r="G81" s="11">
        <v>2</v>
      </c>
      <c r="H81" s="11">
        <v>1</v>
      </c>
      <c r="I81" s="11">
        <v>3</v>
      </c>
      <c r="J81" s="11">
        <v>3</v>
      </c>
      <c r="K81" s="11">
        <v>2</v>
      </c>
    </row>
    <row r="82" spans="4:11" ht="12.75" x14ac:dyDescent="0.2">
      <c r="D82" s="11">
        <v>1</v>
      </c>
      <c r="E82" s="11">
        <v>2</v>
      </c>
      <c r="F82" s="11">
        <v>1</v>
      </c>
      <c r="G82" s="11">
        <v>2</v>
      </c>
      <c r="H82" s="11">
        <v>1</v>
      </c>
      <c r="I82" s="11">
        <v>3</v>
      </c>
      <c r="J82" s="11">
        <v>3</v>
      </c>
      <c r="K82" s="11">
        <v>2</v>
      </c>
    </row>
    <row r="83" spans="4:11" ht="12.75" x14ac:dyDescent="0.2">
      <c r="D83" s="11">
        <v>1</v>
      </c>
      <c r="E83" s="11">
        <v>2</v>
      </c>
      <c r="F83" s="11">
        <v>1</v>
      </c>
      <c r="G83" s="11">
        <v>2</v>
      </c>
      <c r="H83" s="11">
        <v>1</v>
      </c>
      <c r="I83" s="11">
        <v>3</v>
      </c>
      <c r="J83" s="11">
        <v>3</v>
      </c>
      <c r="K83" s="11">
        <v>2</v>
      </c>
    </row>
    <row r="84" spans="4:11" ht="12.75" x14ac:dyDescent="0.2">
      <c r="D84" s="11">
        <v>1</v>
      </c>
      <c r="E84" s="11">
        <v>2</v>
      </c>
      <c r="F84" s="11">
        <v>1</v>
      </c>
      <c r="G84" s="11">
        <v>2</v>
      </c>
      <c r="H84" s="11">
        <v>1</v>
      </c>
      <c r="I84" s="11">
        <v>3</v>
      </c>
      <c r="J84" s="11">
        <v>3</v>
      </c>
      <c r="K84" s="11">
        <v>2</v>
      </c>
    </row>
    <row r="85" spans="4:11" ht="12.75" x14ac:dyDescent="0.2">
      <c r="D85" s="11">
        <v>1</v>
      </c>
      <c r="E85" s="11">
        <v>2</v>
      </c>
      <c r="F85" s="11">
        <v>1</v>
      </c>
      <c r="G85" s="11">
        <v>2</v>
      </c>
      <c r="H85" s="11">
        <v>1</v>
      </c>
      <c r="I85" s="11">
        <v>3</v>
      </c>
      <c r="J85" s="11">
        <v>3</v>
      </c>
      <c r="K85" s="11">
        <v>2</v>
      </c>
    </row>
    <row r="86" spans="4:11" ht="12.75" x14ac:dyDescent="0.2">
      <c r="D86" s="11">
        <v>1</v>
      </c>
      <c r="E86" s="11">
        <v>2</v>
      </c>
      <c r="F86" s="11">
        <v>1</v>
      </c>
      <c r="G86" s="11">
        <v>2</v>
      </c>
      <c r="H86" s="11">
        <v>1</v>
      </c>
      <c r="I86" s="11">
        <v>3</v>
      </c>
      <c r="J86" s="11">
        <v>3</v>
      </c>
      <c r="K86" s="11">
        <v>2</v>
      </c>
    </row>
    <row r="87" spans="4:11" ht="12.75" x14ac:dyDescent="0.2">
      <c r="D87" s="11">
        <v>1</v>
      </c>
      <c r="E87" s="11">
        <v>2</v>
      </c>
      <c r="F87" s="11">
        <v>1</v>
      </c>
      <c r="G87" s="11">
        <v>2</v>
      </c>
      <c r="H87" s="11">
        <v>1</v>
      </c>
      <c r="I87" s="11">
        <v>3</v>
      </c>
      <c r="J87" s="11">
        <v>3</v>
      </c>
      <c r="K87" s="11">
        <v>2</v>
      </c>
    </row>
    <row r="88" spans="4:11" ht="12.75" x14ac:dyDescent="0.2">
      <c r="D88" s="11">
        <v>1</v>
      </c>
      <c r="E88" s="11">
        <v>2</v>
      </c>
      <c r="F88" s="11">
        <v>1</v>
      </c>
      <c r="G88" s="11">
        <v>2</v>
      </c>
      <c r="H88" s="11">
        <v>1</v>
      </c>
      <c r="I88" s="11">
        <v>3</v>
      </c>
      <c r="J88" s="11">
        <v>3</v>
      </c>
      <c r="K88" s="11">
        <v>2</v>
      </c>
    </row>
    <row r="89" spans="4:11" ht="12.75" x14ac:dyDescent="0.2">
      <c r="D89" s="11">
        <v>1</v>
      </c>
      <c r="E89" s="11">
        <v>2</v>
      </c>
      <c r="F89" s="11">
        <v>1</v>
      </c>
      <c r="G89" s="11">
        <v>2</v>
      </c>
      <c r="H89" s="11">
        <v>1</v>
      </c>
      <c r="I89" s="11">
        <v>3</v>
      </c>
      <c r="J89" s="11">
        <v>3</v>
      </c>
      <c r="K89" s="11">
        <v>2</v>
      </c>
    </row>
    <row r="90" spans="4:11" ht="12.75" x14ac:dyDescent="0.2">
      <c r="D90" s="11">
        <v>1</v>
      </c>
      <c r="E90" s="11">
        <v>2</v>
      </c>
      <c r="F90" s="11">
        <v>1</v>
      </c>
      <c r="G90" s="11">
        <v>2</v>
      </c>
      <c r="H90" s="11">
        <v>1</v>
      </c>
      <c r="I90" s="11">
        <v>3</v>
      </c>
      <c r="J90" s="11">
        <v>3</v>
      </c>
      <c r="K90" s="11">
        <v>2</v>
      </c>
    </row>
    <row r="91" spans="4:11" ht="12.75" x14ac:dyDescent="0.2">
      <c r="D91" s="11">
        <v>1</v>
      </c>
      <c r="E91" s="11">
        <v>2</v>
      </c>
      <c r="F91" s="11">
        <v>1</v>
      </c>
      <c r="G91" s="11">
        <v>2</v>
      </c>
      <c r="H91" s="11">
        <v>1</v>
      </c>
      <c r="I91" s="11">
        <v>3</v>
      </c>
      <c r="J91" s="11">
        <v>3</v>
      </c>
      <c r="K91" s="11">
        <v>2</v>
      </c>
    </row>
    <row r="92" spans="4:11" ht="12.75" x14ac:dyDescent="0.2">
      <c r="D92" s="11">
        <v>1</v>
      </c>
      <c r="E92" s="11">
        <v>2</v>
      </c>
      <c r="F92" s="11">
        <v>1</v>
      </c>
      <c r="G92" s="11">
        <v>2</v>
      </c>
      <c r="H92" s="11">
        <v>1</v>
      </c>
      <c r="I92" s="11">
        <v>3</v>
      </c>
      <c r="J92" s="11">
        <v>3</v>
      </c>
      <c r="K92" s="11">
        <v>2</v>
      </c>
    </row>
    <row r="93" spans="4:11" ht="12.75" x14ac:dyDescent="0.2">
      <c r="D93" s="11">
        <v>1</v>
      </c>
      <c r="E93" s="11">
        <v>2</v>
      </c>
      <c r="F93" s="11">
        <v>1</v>
      </c>
      <c r="G93" s="11">
        <v>2</v>
      </c>
      <c r="H93" s="11">
        <v>1</v>
      </c>
      <c r="I93" s="11">
        <v>3</v>
      </c>
      <c r="J93" s="11">
        <v>3</v>
      </c>
      <c r="K93" s="11">
        <v>2</v>
      </c>
    </row>
    <row r="94" spans="4:11" ht="12.75" x14ac:dyDescent="0.2">
      <c r="D94" s="11">
        <v>1</v>
      </c>
      <c r="E94" s="11">
        <v>2</v>
      </c>
      <c r="F94" s="11">
        <v>1</v>
      </c>
      <c r="G94" s="11">
        <v>2</v>
      </c>
      <c r="H94" s="11">
        <v>1</v>
      </c>
      <c r="I94" s="11">
        <v>3</v>
      </c>
      <c r="J94" s="11">
        <v>3</v>
      </c>
      <c r="K94" s="11">
        <v>2</v>
      </c>
    </row>
    <row r="95" spans="4:11" ht="12.75" x14ac:dyDescent="0.2">
      <c r="D95" s="11">
        <v>1</v>
      </c>
      <c r="E95" s="11">
        <v>2</v>
      </c>
      <c r="F95" s="11">
        <v>1</v>
      </c>
      <c r="G95" s="11">
        <v>2</v>
      </c>
      <c r="H95" s="11">
        <v>1</v>
      </c>
      <c r="I95" s="11">
        <v>3</v>
      </c>
      <c r="J95" s="11">
        <v>3</v>
      </c>
      <c r="K95" s="11">
        <v>2</v>
      </c>
    </row>
    <row r="96" spans="4:11" ht="12.75" x14ac:dyDescent="0.2">
      <c r="D96" s="11">
        <v>1</v>
      </c>
      <c r="E96" s="11">
        <v>2</v>
      </c>
      <c r="F96" s="11">
        <v>1</v>
      </c>
      <c r="G96" s="11">
        <v>2</v>
      </c>
      <c r="H96" s="11">
        <v>1</v>
      </c>
      <c r="I96" s="11">
        <v>3</v>
      </c>
      <c r="J96" s="11">
        <v>3</v>
      </c>
      <c r="K96" s="11">
        <v>2</v>
      </c>
    </row>
    <row r="97" spans="4:11" ht="12.75" x14ac:dyDescent="0.2">
      <c r="D97" s="11">
        <v>1</v>
      </c>
      <c r="E97" s="11">
        <v>2</v>
      </c>
      <c r="F97" s="11">
        <v>1</v>
      </c>
      <c r="G97" s="11">
        <v>2</v>
      </c>
      <c r="H97" s="11">
        <v>1</v>
      </c>
      <c r="I97" s="11">
        <v>3</v>
      </c>
      <c r="J97" s="11">
        <v>3</v>
      </c>
      <c r="K97" s="11">
        <v>2</v>
      </c>
    </row>
    <row r="98" spans="4:11" ht="12.75" x14ac:dyDescent="0.2">
      <c r="D98" s="11">
        <v>1</v>
      </c>
      <c r="E98" s="11">
        <v>2</v>
      </c>
      <c r="F98" s="11">
        <v>1</v>
      </c>
      <c r="G98" s="11">
        <v>2</v>
      </c>
      <c r="H98" s="11">
        <v>1</v>
      </c>
      <c r="I98" s="11">
        <v>3</v>
      </c>
      <c r="J98" s="11">
        <v>3</v>
      </c>
      <c r="K98" s="11">
        <v>2</v>
      </c>
    </row>
  </sheetData>
  <dataValidations count="2">
    <dataValidation type="list" allowBlank="1" sqref="D2:D37" xr:uid="{00000000-0002-0000-0400-000000000000}">
      <formula1>"True,False"</formula1>
    </dataValidation>
    <dataValidation type="custom" allowBlank="1" showDropDown="1" sqref="B2:C37 E2:K37" xr:uid="{00000000-0002-0000-04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7.5703125" customWidth="1"/>
    <col min="2" max="2" width="16.85546875" customWidth="1"/>
    <col min="3" max="3" width="25.42578125" customWidth="1"/>
    <col min="4" max="4" width="17.140625" customWidth="1"/>
    <col min="5" max="5" width="22.28515625" customWidth="1"/>
    <col min="6" max="6" width="17" customWidth="1"/>
    <col min="7" max="7" width="22.42578125" customWidth="1"/>
    <col min="8" max="8" width="21.85546875" customWidth="1"/>
    <col min="9" max="9" width="25.7109375" customWidth="1"/>
    <col min="10" max="10" width="16.140625" customWidth="1"/>
    <col min="11" max="11" width="22.7109375" customWidth="1"/>
    <col min="12" max="23" width="13.85546875" customWidth="1"/>
  </cols>
  <sheetData>
    <row r="1" spans="1:11" ht="22.5" customHeight="1" x14ac:dyDescent="0.25">
      <c r="A1" s="1" t="s">
        <v>17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2" t="s">
        <v>19</v>
      </c>
      <c r="B2" s="3">
        <f>C2/B49 * 100</f>
        <v>53.521126760563376</v>
      </c>
      <c r="C2" s="2">
        <f>IF(D2, 1, 0) + (E2 * E49) + (F2 * F49) + (G2 * G49) + (H2 * H49) + (I2 * I49) + (J3 * J49) + (K2 * K49)</f>
        <v>38</v>
      </c>
      <c r="D2" s="2" t="b">
        <v>0</v>
      </c>
      <c r="E2" s="2">
        <v>0</v>
      </c>
      <c r="F2" s="2">
        <v>3</v>
      </c>
      <c r="G2" s="2">
        <v>4</v>
      </c>
      <c r="H2" s="2">
        <v>5</v>
      </c>
      <c r="I2" s="2">
        <v>2</v>
      </c>
      <c r="J2" s="14">
        <v>2</v>
      </c>
      <c r="K2" s="2">
        <v>5</v>
      </c>
    </row>
    <row r="3" spans="1:11" ht="22.5" customHeight="1" x14ac:dyDescent="0.25">
      <c r="A3" s="2" t="s">
        <v>20</v>
      </c>
      <c r="B3" s="3">
        <f>C3/B49 * 100</f>
        <v>50.704225352112672</v>
      </c>
      <c r="C3" s="2">
        <f t="shared" ref="C3:C37" si="0">IF(D3, 1, 0) + (E3 * E50) + (F3 * F50) + (G3 * G50) + (H3 * H50) + (I3 * I50) + (J3 * J50) + (K3 * K50)</f>
        <v>36</v>
      </c>
      <c r="D3" s="2" t="b">
        <v>0</v>
      </c>
      <c r="E3" s="2">
        <v>0</v>
      </c>
      <c r="F3" s="2">
        <v>3</v>
      </c>
      <c r="G3" s="2">
        <v>4</v>
      </c>
      <c r="H3" s="2">
        <v>3</v>
      </c>
      <c r="I3" s="2">
        <v>2</v>
      </c>
      <c r="J3" s="14">
        <v>2</v>
      </c>
      <c r="K3" s="2">
        <v>5</v>
      </c>
    </row>
    <row r="4" spans="1:11" ht="22.5" customHeight="1" x14ac:dyDescent="0.25">
      <c r="A4" s="2" t="s">
        <v>21</v>
      </c>
      <c r="B4" s="3">
        <f>C4/B49 * 100</f>
        <v>50.704225352112672</v>
      </c>
      <c r="C4" s="2">
        <f t="shared" si="0"/>
        <v>36</v>
      </c>
      <c r="D4" s="2" t="b">
        <v>0</v>
      </c>
      <c r="E4" s="12">
        <v>0</v>
      </c>
      <c r="F4" s="12">
        <v>3</v>
      </c>
      <c r="G4" s="12">
        <v>4</v>
      </c>
      <c r="H4" s="12">
        <v>3</v>
      </c>
      <c r="I4" s="12">
        <v>2</v>
      </c>
      <c r="J4" s="15">
        <v>2</v>
      </c>
      <c r="K4" s="13">
        <v>5</v>
      </c>
    </row>
    <row r="5" spans="1:11" ht="22.5" customHeight="1" x14ac:dyDescent="0.25">
      <c r="A5" s="2" t="s">
        <v>22</v>
      </c>
      <c r="B5" s="3">
        <f>C5/B49 * 100</f>
        <v>59.154929577464785</v>
      </c>
      <c r="C5" s="2">
        <f t="shared" si="0"/>
        <v>42</v>
      </c>
      <c r="D5" s="2" t="b">
        <v>0</v>
      </c>
      <c r="E5" s="12">
        <v>0</v>
      </c>
      <c r="F5" s="12">
        <v>3</v>
      </c>
      <c r="G5" s="12">
        <v>4</v>
      </c>
      <c r="H5" s="12">
        <v>3</v>
      </c>
      <c r="I5" s="12">
        <v>3</v>
      </c>
      <c r="J5" s="15">
        <v>3</v>
      </c>
      <c r="K5" s="13">
        <v>5</v>
      </c>
    </row>
    <row r="6" spans="1:11" ht="22.5" customHeight="1" x14ac:dyDescent="0.25">
      <c r="A6" s="2" t="s">
        <v>23</v>
      </c>
      <c r="B6" s="3">
        <f>C6/B49 * 100</f>
        <v>52.112676056338024</v>
      </c>
      <c r="C6" s="2">
        <f t="shared" si="0"/>
        <v>37</v>
      </c>
      <c r="D6" s="2" t="b">
        <v>0</v>
      </c>
      <c r="E6" s="12">
        <v>0</v>
      </c>
      <c r="F6" s="12">
        <v>3</v>
      </c>
      <c r="G6" s="12">
        <v>4</v>
      </c>
      <c r="H6" s="12">
        <v>1</v>
      </c>
      <c r="I6" s="12">
        <v>2</v>
      </c>
      <c r="J6" s="15">
        <v>3</v>
      </c>
      <c r="K6" s="13">
        <v>5</v>
      </c>
    </row>
    <row r="7" spans="1:11" ht="22.5" customHeight="1" x14ac:dyDescent="0.25">
      <c r="A7" s="2" t="s">
        <v>24</v>
      </c>
      <c r="B7" s="3">
        <f>C7/B49 * 100</f>
        <v>46.478873239436616</v>
      </c>
      <c r="C7" s="2">
        <f t="shared" si="0"/>
        <v>33</v>
      </c>
      <c r="D7" s="2" t="b">
        <v>0</v>
      </c>
      <c r="E7" s="12">
        <v>0</v>
      </c>
      <c r="F7" s="12">
        <v>3</v>
      </c>
      <c r="G7" s="12">
        <v>4</v>
      </c>
      <c r="H7" s="12">
        <v>3</v>
      </c>
      <c r="I7" s="12">
        <v>1</v>
      </c>
      <c r="J7" s="15">
        <v>2</v>
      </c>
      <c r="K7" s="13">
        <v>5</v>
      </c>
    </row>
    <row r="8" spans="1:11" ht="22.5" customHeight="1" x14ac:dyDescent="0.25">
      <c r="A8" s="2" t="s">
        <v>25</v>
      </c>
      <c r="B8" s="3">
        <f>C8/B49 * 100</f>
        <v>56.338028169014088</v>
      </c>
      <c r="C8" s="2">
        <f t="shared" si="0"/>
        <v>40</v>
      </c>
      <c r="D8" s="2" t="b">
        <v>0</v>
      </c>
      <c r="E8" s="12">
        <v>0</v>
      </c>
      <c r="F8" s="12">
        <v>3</v>
      </c>
      <c r="G8" s="12">
        <v>4</v>
      </c>
      <c r="H8" s="12">
        <v>4</v>
      </c>
      <c r="I8" s="12">
        <v>3</v>
      </c>
      <c r="J8" s="15">
        <v>2</v>
      </c>
      <c r="K8" s="13">
        <v>5</v>
      </c>
    </row>
    <row r="9" spans="1:11" ht="22.5" customHeight="1" x14ac:dyDescent="0.25">
      <c r="A9" s="2" t="s">
        <v>26</v>
      </c>
      <c r="B9" s="3">
        <f>C9/B49 * 100</f>
        <v>49.295774647887328</v>
      </c>
      <c r="C9" s="2">
        <f t="shared" si="0"/>
        <v>35</v>
      </c>
      <c r="D9" s="2" t="b">
        <v>0</v>
      </c>
      <c r="E9" s="12">
        <v>0</v>
      </c>
      <c r="F9" s="12">
        <v>3</v>
      </c>
      <c r="G9" s="12">
        <v>4</v>
      </c>
      <c r="H9" s="12">
        <v>5</v>
      </c>
      <c r="I9" s="12">
        <v>1</v>
      </c>
      <c r="J9" s="15">
        <v>2</v>
      </c>
      <c r="K9" s="2">
        <v>5</v>
      </c>
    </row>
    <row r="10" spans="1:11" ht="22.5" customHeight="1" x14ac:dyDescent="0.25">
      <c r="A10" s="2" t="s">
        <v>27</v>
      </c>
      <c r="B10" s="3">
        <f>C10/B49 * 100</f>
        <v>57.74647887323944</v>
      </c>
      <c r="C10" s="2">
        <f t="shared" si="0"/>
        <v>41</v>
      </c>
      <c r="D10" s="2" t="b">
        <v>0</v>
      </c>
      <c r="E10" s="12">
        <v>0</v>
      </c>
      <c r="F10" s="12">
        <v>3</v>
      </c>
      <c r="G10" s="12">
        <v>4</v>
      </c>
      <c r="H10" s="12">
        <v>5</v>
      </c>
      <c r="I10" s="12">
        <v>3</v>
      </c>
      <c r="J10" s="15">
        <v>2</v>
      </c>
      <c r="K10" s="2">
        <v>5</v>
      </c>
    </row>
    <row r="11" spans="1:11" ht="22.5" customHeight="1" x14ac:dyDescent="0.25">
      <c r="A11" s="2" t="s">
        <v>28</v>
      </c>
      <c r="B11" s="3">
        <f>C11/B49 * 100</f>
        <v>46.478873239436616</v>
      </c>
      <c r="C11" s="2">
        <f t="shared" si="0"/>
        <v>33</v>
      </c>
      <c r="D11" s="2" t="b">
        <v>0</v>
      </c>
      <c r="E11" s="12">
        <v>0</v>
      </c>
      <c r="F11" s="12">
        <v>3</v>
      </c>
      <c r="G11" s="12">
        <v>3</v>
      </c>
      <c r="H11" s="12">
        <v>5</v>
      </c>
      <c r="I11" s="12">
        <v>2</v>
      </c>
      <c r="J11" s="15">
        <v>1</v>
      </c>
      <c r="K11" s="2">
        <v>5</v>
      </c>
    </row>
    <row r="12" spans="1:11" ht="22.5" customHeight="1" x14ac:dyDescent="0.25">
      <c r="A12" s="2" t="s">
        <v>29</v>
      </c>
      <c r="B12" s="3">
        <f>C12/B49 * 100</f>
        <v>54.929577464788736</v>
      </c>
      <c r="C12" s="2">
        <f t="shared" si="0"/>
        <v>39</v>
      </c>
      <c r="D12" s="2" t="b">
        <v>0</v>
      </c>
      <c r="E12" s="12">
        <v>0</v>
      </c>
      <c r="F12" s="12">
        <v>3</v>
      </c>
      <c r="G12" s="12">
        <v>3</v>
      </c>
      <c r="H12" s="12">
        <v>5</v>
      </c>
      <c r="I12" s="12">
        <v>2</v>
      </c>
      <c r="J12" s="15">
        <v>3</v>
      </c>
      <c r="K12" s="2">
        <v>5</v>
      </c>
    </row>
    <row r="13" spans="1:11" ht="22.5" customHeight="1" x14ac:dyDescent="0.25">
      <c r="A13" s="2" t="s">
        <v>30</v>
      </c>
      <c r="B13" s="3">
        <f>C13/B49 * 100</f>
        <v>42.25352112676056</v>
      </c>
      <c r="C13" s="2">
        <f t="shared" si="0"/>
        <v>30</v>
      </c>
      <c r="D13" s="2" t="b">
        <v>0</v>
      </c>
      <c r="E13" s="12">
        <v>0</v>
      </c>
      <c r="F13" s="12">
        <v>3</v>
      </c>
      <c r="G13" s="12">
        <v>3</v>
      </c>
      <c r="H13" s="12">
        <v>5</v>
      </c>
      <c r="I13" s="12">
        <v>1</v>
      </c>
      <c r="J13" s="15">
        <v>1</v>
      </c>
      <c r="K13" s="2">
        <v>5</v>
      </c>
    </row>
    <row r="14" spans="1:11" ht="22.5" customHeight="1" x14ac:dyDescent="0.25">
      <c r="A14" s="2" t="s">
        <v>31</v>
      </c>
      <c r="B14" s="3">
        <f>C14/B49 * 100</f>
        <v>42.25352112676056</v>
      </c>
      <c r="C14" s="2">
        <f t="shared" si="0"/>
        <v>30</v>
      </c>
      <c r="D14" s="2" t="b">
        <v>0</v>
      </c>
      <c r="E14" s="12">
        <v>0</v>
      </c>
      <c r="F14" s="12">
        <v>3</v>
      </c>
      <c r="G14" s="12">
        <v>3</v>
      </c>
      <c r="H14" s="12">
        <v>2</v>
      </c>
      <c r="I14" s="12">
        <v>2</v>
      </c>
      <c r="J14" s="15">
        <v>1</v>
      </c>
      <c r="K14" s="2">
        <v>5</v>
      </c>
    </row>
    <row r="15" spans="1:11" ht="22.5" customHeight="1" x14ac:dyDescent="0.25">
      <c r="A15" s="2" t="s">
        <v>32</v>
      </c>
      <c r="B15" s="3">
        <f>C15/B49 * 100</f>
        <v>42.25352112676056</v>
      </c>
      <c r="C15" s="2">
        <f t="shared" si="0"/>
        <v>30</v>
      </c>
      <c r="D15" s="2" t="b">
        <v>0</v>
      </c>
      <c r="E15" s="12">
        <v>0</v>
      </c>
      <c r="F15" s="12">
        <v>3</v>
      </c>
      <c r="G15" s="12">
        <v>3</v>
      </c>
      <c r="H15" s="12">
        <v>2</v>
      </c>
      <c r="I15" s="12">
        <v>2</v>
      </c>
      <c r="J15" s="15">
        <v>1</v>
      </c>
      <c r="K15" s="2">
        <v>5</v>
      </c>
    </row>
    <row r="16" spans="1:11" ht="22.5" customHeight="1" x14ac:dyDescent="0.25">
      <c r="A16" s="2" t="s">
        <v>33</v>
      </c>
      <c r="B16" s="3">
        <f>C16/B49 * 100</f>
        <v>40.845070422535215</v>
      </c>
      <c r="C16" s="2">
        <f t="shared" si="0"/>
        <v>29</v>
      </c>
      <c r="D16" s="2" t="b">
        <v>0</v>
      </c>
      <c r="E16" s="12">
        <v>0</v>
      </c>
      <c r="F16" s="12">
        <v>3</v>
      </c>
      <c r="G16" s="12">
        <v>3</v>
      </c>
      <c r="H16" s="12">
        <v>4</v>
      </c>
      <c r="I16" s="12">
        <v>1</v>
      </c>
      <c r="J16" s="15">
        <v>1</v>
      </c>
      <c r="K16" s="2">
        <v>5</v>
      </c>
    </row>
    <row r="17" spans="1:11" ht="22.5" customHeight="1" x14ac:dyDescent="0.25">
      <c r="A17" s="2" t="s">
        <v>34</v>
      </c>
      <c r="B17" s="3">
        <f>C17/B49 * 100</f>
        <v>67.605633802816897</v>
      </c>
      <c r="C17" s="2">
        <f t="shared" si="0"/>
        <v>48</v>
      </c>
      <c r="D17" s="2" t="b">
        <v>0</v>
      </c>
      <c r="E17" s="12">
        <v>0</v>
      </c>
      <c r="F17" s="12">
        <v>3</v>
      </c>
      <c r="G17" s="12">
        <v>3</v>
      </c>
      <c r="H17" s="12">
        <v>5</v>
      </c>
      <c r="I17" s="12">
        <v>4</v>
      </c>
      <c r="J17" s="15">
        <v>4</v>
      </c>
      <c r="K17" s="2">
        <v>5</v>
      </c>
    </row>
    <row r="18" spans="1:11" ht="22.5" customHeight="1" x14ac:dyDescent="0.25">
      <c r="A18" s="2" t="s">
        <v>35</v>
      </c>
      <c r="B18" s="3">
        <f>C18/B49 * 100</f>
        <v>59.154929577464785</v>
      </c>
      <c r="C18" s="2">
        <f t="shared" si="0"/>
        <v>42</v>
      </c>
      <c r="D18" s="2" t="b">
        <v>0</v>
      </c>
      <c r="E18" s="12">
        <v>0</v>
      </c>
      <c r="F18" s="12">
        <v>3</v>
      </c>
      <c r="G18" s="12">
        <v>3</v>
      </c>
      <c r="H18" s="12">
        <v>5</v>
      </c>
      <c r="I18" s="12">
        <v>3</v>
      </c>
      <c r="J18" s="15">
        <v>3</v>
      </c>
      <c r="K18" s="2">
        <v>5</v>
      </c>
    </row>
    <row r="19" spans="1:11" ht="22.5" customHeight="1" x14ac:dyDescent="0.25">
      <c r="A19" s="2" t="s">
        <v>36</v>
      </c>
      <c r="B19" s="3">
        <f>C19/B49 * 100</f>
        <v>46.478873239436616</v>
      </c>
      <c r="C19" s="2">
        <f t="shared" si="0"/>
        <v>33</v>
      </c>
      <c r="D19" s="2" t="b">
        <v>0</v>
      </c>
      <c r="E19" s="12">
        <v>0</v>
      </c>
      <c r="F19" s="12">
        <v>3</v>
      </c>
      <c r="G19" s="12">
        <v>3</v>
      </c>
      <c r="H19" s="12">
        <v>5</v>
      </c>
      <c r="I19" s="12">
        <v>1</v>
      </c>
      <c r="J19" s="15">
        <v>2</v>
      </c>
      <c r="K19" s="2">
        <v>5</v>
      </c>
    </row>
    <row r="20" spans="1:11" ht="22.5" customHeight="1" x14ac:dyDescent="0.25">
      <c r="A20" s="2" t="s">
        <v>37</v>
      </c>
      <c r="B20" s="3">
        <f>C20/B49 * 100</f>
        <v>43.661971830985912</v>
      </c>
      <c r="C20" s="2">
        <f t="shared" si="0"/>
        <v>31</v>
      </c>
      <c r="D20" s="2" t="b">
        <v>0</v>
      </c>
      <c r="E20" s="12">
        <v>0</v>
      </c>
      <c r="F20" s="12">
        <v>3</v>
      </c>
      <c r="G20" s="12">
        <v>3</v>
      </c>
      <c r="H20" s="12">
        <v>3</v>
      </c>
      <c r="I20" s="12">
        <v>1</v>
      </c>
      <c r="J20" s="15">
        <v>2</v>
      </c>
      <c r="K20" s="2">
        <v>5</v>
      </c>
    </row>
    <row r="21" spans="1:11" ht="22.5" customHeight="1" x14ac:dyDescent="0.25">
      <c r="A21" s="2" t="s">
        <v>38</v>
      </c>
      <c r="B21" s="3">
        <f>C21/B49 * 100</f>
        <v>40.845070422535215</v>
      </c>
      <c r="C21" s="2">
        <f t="shared" si="0"/>
        <v>29</v>
      </c>
      <c r="D21" s="2" t="b">
        <v>0</v>
      </c>
      <c r="E21" s="12">
        <v>0</v>
      </c>
      <c r="F21" s="12">
        <v>3</v>
      </c>
      <c r="G21" s="12">
        <v>2</v>
      </c>
      <c r="H21" s="12">
        <v>3</v>
      </c>
      <c r="I21" s="12">
        <v>1</v>
      </c>
      <c r="J21" s="15">
        <v>2</v>
      </c>
      <c r="K21" s="2">
        <v>5</v>
      </c>
    </row>
    <row r="22" spans="1:11" ht="22.5" customHeight="1" x14ac:dyDescent="0.25">
      <c r="A22" s="2" t="s">
        <v>39</v>
      </c>
      <c r="B22" s="3">
        <f>C22/B49 * 100</f>
        <v>43.661971830985912</v>
      </c>
      <c r="C22" s="2">
        <f t="shared" si="0"/>
        <v>31</v>
      </c>
      <c r="D22" s="2" t="b">
        <v>0</v>
      </c>
      <c r="E22" s="12">
        <v>0</v>
      </c>
      <c r="F22" s="12">
        <v>3</v>
      </c>
      <c r="G22" s="12">
        <v>3</v>
      </c>
      <c r="H22" s="12">
        <v>3</v>
      </c>
      <c r="I22" s="12">
        <v>2</v>
      </c>
      <c r="J22" s="15">
        <v>1</v>
      </c>
      <c r="K22" s="2">
        <v>5</v>
      </c>
    </row>
    <row r="23" spans="1:11" ht="22.5" customHeight="1" x14ac:dyDescent="0.25">
      <c r="A23" s="2" t="s">
        <v>40</v>
      </c>
      <c r="B23" s="3">
        <f>C23/B49 * 100</f>
        <v>49.295774647887328</v>
      </c>
      <c r="C23" s="2">
        <f t="shared" si="0"/>
        <v>35</v>
      </c>
      <c r="D23" s="2" t="b">
        <v>0</v>
      </c>
      <c r="E23" s="12">
        <v>0</v>
      </c>
      <c r="F23" s="12">
        <v>3</v>
      </c>
      <c r="G23" s="12">
        <v>3</v>
      </c>
      <c r="H23" s="12">
        <v>4</v>
      </c>
      <c r="I23" s="12">
        <v>2</v>
      </c>
      <c r="J23" s="15">
        <v>2</v>
      </c>
      <c r="K23" s="2">
        <v>5</v>
      </c>
    </row>
    <row r="24" spans="1:11" ht="22.5" customHeight="1" x14ac:dyDescent="0.25">
      <c r="A24" s="2" t="s">
        <v>41</v>
      </c>
      <c r="B24" s="3">
        <f>C24/B49 * 100</f>
        <v>47.887323943661968</v>
      </c>
      <c r="C24" s="2">
        <f t="shared" si="0"/>
        <v>34</v>
      </c>
      <c r="D24" s="2" t="b">
        <v>0</v>
      </c>
      <c r="E24" s="12">
        <v>0</v>
      </c>
      <c r="F24" s="12">
        <v>3</v>
      </c>
      <c r="G24" s="12">
        <v>3</v>
      </c>
      <c r="H24" s="12">
        <v>3</v>
      </c>
      <c r="I24" s="12">
        <v>2</v>
      </c>
      <c r="J24" s="15">
        <v>2</v>
      </c>
      <c r="K24" s="2">
        <v>5</v>
      </c>
    </row>
    <row r="25" spans="1:11" ht="22.5" customHeight="1" x14ac:dyDescent="0.25">
      <c r="A25" s="2" t="s">
        <v>42</v>
      </c>
      <c r="B25" s="3">
        <f>C25/B49 * 100</f>
        <v>38.028169014084504</v>
      </c>
      <c r="C25" s="2">
        <f t="shared" si="0"/>
        <v>27</v>
      </c>
      <c r="D25" s="2" t="b">
        <v>0</v>
      </c>
      <c r="E25" s="12">
        <v>0</v>
      </c>
      <c r="F25" s="12">
        <v>3</v>
      </c>
      <c r="G25" s="12">
        <v>3</v>
      </c>
      <c r="H25" s="12">
        <v>2</v>
      </c>
      <c r="I25" s="12">
        <v>1</v>
      </c>
      <c r="J25" s="15">
        <v>1</v>
      </c>
      <c r="K25" s="2">
        <v>5</v>
      </c>
    </row>
    <row r="26" spans="1:11" ht="22.5" customHeight="1" x14ac:dyDescent="0.25">
      <c r="A26" s="2" t="s">
        <v>43</v>
      </c>
      <c r="B26" s="3">
        <f>C26/B49 * 100</f>
        <v>43.661971830985912</v>
      </c>
      <c r="C26" s="2">
        <f t="shared" si="0"/>
        <v>31</v>
      </c>
      <c r="D26" s="2" t="b">
        <v>0</v>
      </c>
      <c r="E26" s="12">
        <v>0</v>
      </c>
      <c r="F26" s="12">
        <v>3</v>
      </c>
      <c r="G26" s="12">
        <v>3</v>
      </c>
      <c r="H26" s="12">
        <v>3</v>
      </c>
      <c r="I26" s="12">
        <v>2</v>
      </c>
      <c r="J26" s="15">
        <v>1</v>
      </c>
      <c r="K26" s="2">
        <v>5</v>
      </c>
    </row>
    <row r="27" spans="1:11" ht="22.5" customHeight="1" x14ac:dyDescent="0.25">
      <c r="A27" s="2" t="s">
        <v>44</v>
      </c>
      <c r="B27" s="3">
        <f>C27/B49 * 100</f>
        <v>47.887323943661968</v>
      </c>
      <c r="C27" s="2">
        <f t="shared" si="0"/>
        <v>34</v>
      </c>
      <c r="D27" s="2" t="b">
        <v>0</v>
      </c>
      <c r="E27" s="12">
        <v>0</v>
      </c>
      <c r="F27" s="12">
        <v>3</v>
      </c>
      <c r="G27" s="12">
        <v>3</v>
      </c>
      <c r="H27" s="12">
        <v>3</v>
      </c>
      <c r="I27" s="12">
        <v>2</v>
      </c>
      <c r="J27" s="15">
        <v>2</v>
      </c>
      <c r="K27" s="2">
        <v>5</v>
      </c>
    </row>
    <row r="28" spans="1:11" ht="22.5" customHeight="1" x14ac:dyDescent="0.25">
      <c r="A28" s="2" t="s">
        <v>45</v>
      </c>
      <c r="B28" s="3">
        <f>C28/B49 * 100</f>
        <v>38.028169014084504</v>
      </c>
      <c r="C28" s="2">
        <f t="shared" si="0"/>
        <v>27</v>
      </c>
      <c r="D28" s="2" t="b">
        <v>0</v>
      </c>
      <c r="E28" s="12">
        <v>0</v>
      </c>
      <c r="F28" s="12">
        <v>3</v>
      </c>
      <c r="G28" s="12">
        <v>3</v>
      </c>
      <c r="H28" s="12">
        <v>2</v>
      </c>
      <c r="I28" s="12">
        <v>1</v>
      </c>
      <c r="J28" s="15">
        <v>1</v>
      </c>
      <c r="K28" s="2">
        <v>5</v>
      </c>
    </row>
    <row r="29" spans="1:11" ht="22.5" customHeight="1" x14ac:dyDescent="0.25">
      <c r="A29" s="2" t="s">
        <v>46</v>
      </c>
      <c r="B29" s="3">
        <f>C29/B49 * 100</f>
        <v>61.971830985915489</v>
      </c>
      <c r="C29" s="2">
        <f t="shared" si="0"/>
        <v>44</v>
      </c>
      <c r="D29" s="2" t="b">
        <v>0</v>
      </c>
      <c r="E29" s="12">
        <v>0</v>
      </c>
      <c r="F29" s="12">
        <v>3</v>
      </c>
      <c r="G29" s="12">
        <v>4</v>
      </c>
      <c r="H29" s="12">
        <v>5</v>
      </c>
      <c r="I29" s="12">
        <v>3</v>
      </c>
      <c r="J29" s="15">
        <v>3</v>
      </c>
      <c r="K29" s="2">
        <v>5</v>
      </c>
    </row>
    <row r="30" spans="1:11" ht="22.5" customHeight="1" x14ac:dyDescent="0.25">
      <c r="A30" s="2" t="s">
        <v>47</v>
      </c>
      <c r="B30" s="3">
        <f>C30/B49 * 100</f>
        <v>39.436619718309856</v>
      </c>
      <c r="C30" s="2">
        <f t="shared" si="0"/>
        <v>28</v>
      </c>
      <c r="D30" s="2" t="b">
        <v>0</v>
      </c>
      <c r="E30" s="12">
        <v>0</v>
      </c>
      <c r="F30" s="12">
        <v>3</v>
      </c>
      <c r="G30" s="12">
        <v>4</v>
      </c>
      <c r="H30" s="12">
        <v>1</v>
      </c>
      <c r="I30" s="12">
        <v>1</v>
      </c>
      <c r="J30" s="15">
        <v>1</v>
      </c>
      <c r="K30" s="2">
        <v>5</v>
      </c>
    </row>
    <row r="31" spans="1:11" ht="22.5" customHeight="1" x14ac:dyDescent="0.25">
      <c r="A31" s="2" t="s">
        <v>48</v>
      </c>
      <c r="B31" s="3">
        <f>C31/B49 * 100</f>
        <v>39.436619718309856</v>
      </c>
      <c r="C31" s="2">
        <f t="shared" si="0"/>
        <v>28</v>
      </c>
      <c r="D31" s="2" t="b">
        <v>0</v>
      </c>
      <c r="E31" s="12">
        <v>0</v>
      </c>
      <c r="F31" s="12">
        <v>3</v>
      </c>
      <c r="G31" s="12">
        <v>2</v>
      </c>
      <c r="H31" s="12">
        <v>5</v>
      </c>
      <c r="I31" s="12">
        <v>1</v>
      </c>
      <c r="J31" s="15">
        <v>1</v>
      </c>
      <c r="K31" s="2">
        <v>5</v>
      </c>
    </row>
    <row r="32" spans="1:11" ht="22.5" customHeight="1" x14ac:dyDescent="0.25">
      <c r="A32" s="2" t="s">
        <v>49</v>
      </c>
      <c r="B32" s="3">
        <f>C32/B49 * 100</f>
        <v>43.661971830985912</v>
      </c>
      <c r="C32" s="2">
        <f t="shared" si="0"/>
        <v>31</v>
      </c>
      <c r="D32" s="2" t="b">
        <v>0</v>
      </c>
      <c r="E32" s="12">
        <v>0</v>
      </c>
      <c r="F32" s="12">
        <v>3</v>
      </c>
      <c r="G32" s="12">
        <v>2</v>
      </c>
      <c r="H32" s="12">
        <v>5</v>
      </c>
      <c r="I32" s="12">
        <v>2</v>
      </c>
      <c r="J32" s="15">
        <v>1</v>
      </c>
      <c r="K32" s="2">
        <v>5</v>
      </c>
    </row>
    <row r="33" spans="1:11" ht="22.5" customHeight="1" x14ac:dyDescent="0.25">
      <c r="A33" s="2" t="s">
        <v>50</v>
      </c>
      <c r="B33" s="3">
        <f>C33/B49 * 100</f>
        <v>69.014084507042256</v>
      </c>
      <c r="C33" s="2">
        <f t="shared" si="0"/>
        <v>49</v>
      </c>
      <c r="D33" s="2" t="b">
        <v>0</v>
      </c>
      <c r="E33" s="12">
        <v>0</v>
      </c>
      <c r="F33" s="12">
        <v>3</v>
      </c>
      <c r="G33" s="12">
        <v>5</v>
      </c>
      <c r="H33" s="12">
        <v>5</v>
      </c>
      <c r="I33" s="12">
        <v>3</v>
      </c>
      <c r="J33" s="15">
        <v>4</v>
      </c>
      <c r="K33" s="2">
        <v>5</v>
      </c>
    </row>
    <row r="34" spans="1:11" ht="22.5" customHeight="1" x14ac:dyDescent="0.25">
      <c r="A34" s="2" t="s">
        <v>51</v>
      </c>
      <c r="B34" s="3">
        <f>C34/B49 * 100</f>
        <v>53.521126760563376</v>
      </c>
      <c r="C34" s="2">
        <f t="shared" si="0"/>
        <v>38</v>
      </c>
      <c r="D34" s="2" t="b">
        <v>0</v>
      </c>
      <c r="E34" s="12">
        <v>0</v>
      </c>
      <c r="F34" s="12">
        <v>3</v>
      </c>
      <c r="G34" s="12">
        <v>4</v>
      </c>
      <c r="H34" s="12">
        <v>5</v>
      </c>
      <c r="I34" s="12">
        <v>2</v>
      </c>
      <c r="J34" s="15">
        <v>2</v>
      </c>
      <c r="K34" s="2">
        <v>5</v>
      </c>
    </row>
    <row r="35" spans="1:11" ht="22.5" customHeight="1" x14ac:dyDescent="0.25">
      <c r="A35" s="2" t="s">
        <v>52</v>
      </c>
      <c r="B35" s="3">
        <f>C35/B49 * 100</f>
        <v>57.74647887323944</v>
      </c>
      <c r="C35" s="2">
        <f t="shared" si="0"/>
        <v>41</v>
      </c>
      <c r="D35" s="2" t="b">
        <v>0</v>
      </c>
      <c r="E35" s="12">
        <v>0</v>
      </c>
      <c r="F35" s="12">
        <v>3</v>
      </c>
      <c r="G35" s="12">
        <v>4</v>
      </c>
      <c r="H35" s="12">
        <v>5</v>
      </c>
      <c r="I35" s="12">
        <v>2</v>
      </c>
      <c r="J35" s="15">
        <v>3</v>
      </c>
      <c r="K35" s="2">
        <v>5</v>
      </c>
    </row>
    <row r="36" spans="1:11" ht="22.5" customHeight="1" x14ac:dyDescent="0.25">
      <c r="A36" s="2" t="s">
        <v>53</v>
      </c>
      <c r="B36" s="3">
        <f>C36/B49 * 100</f>
        <v>42.25352112676056</v>
      </c>
      <c r="C36" s="2">
        <f t="shared" si="0"/>
        <v>30</v>
      </c>
      <c r="D36" s="2" t="b">
        <v>0</v>
      </c>
      <c r="E36" s="12">
        <v>0</v>
      </c>
      <c r="F36" s="12">
        <v>3</v>
      </c>
      <c r="G36" s="12">
        <v>3</v>
      </c>
      <c r="H36" s="12">
        <v>5</v>
      </c>
      <c r="I36" s="12">
        <v>1</v>
      </c>
      <c r="J36" s="15">
        <v>1</v>
      </c>
      <c r="K36" s="2">
        <v>5</v>
      </c>
    </row>
    <row r="37" spans="1:11" ht="22.5" customHeight="1" x14ac:dyDescent="0.25">
      <c r="A37" s="2" t="s">
        <v>54</v>
      </c>
      <c r="B37" s="3">
        <f>C37/B49 * 100</f>
        <v>57.74647887323944</v>
      </c>
      <c r="C37" s="2">
        <f t="shared" si="0"/>
        <v>41</v>
      </c>
      <c r="D37" s="2" t="b">
        <v>0</v>
      </c>
      <c r="E37" s="17">
        <v>0</v>
      </c>
      <c r="F37" s="17">
        <v>3</v>
      </c>
      <c r="G37" s="17">
        <v>4</v>
      </c>
      <c r="H37" s="17">
        <v>5</v>
      </c>
      <c r="I37" s="17">
        <v>3</v>
      </c>
      <c r="J37" s="18">
        <v>2</v>
      </c>
      <c r="K37" s="2">
        <v>5</v>
      </c>
    </row>
    <row r="38" spans="1:11" ht="22.5" customHeight="1" x14ac:dyDescent="0.25">
      <c r="A38" s="2" t="s">
        <v>55</v>
      </c>
      <c r="B38" s="3">
        <f>MEDIAN(Tabela_4[Nota Final (%)])</f>
        <v>47.887323943661968</v>
      </c>
      <c r="C38" s="2">
        <f>MEDIAN(Tabela_4[Pontos Totais (max 71)])</f>
        <v>34</v>
      </c>
      <c r="D38" s="2"/>
      <c r="E38" s="3">
        <f>AVERAGE(Tabela_4[o texo é legivel?])</f>
        <v>0</v>
      </c>
      <c r="F38" s="2">
        <f>AVERAGE(Tabela_4[Resolução])</f>
        <v>3</v>
      </c>
      <c r="G38" s="3">
        <f>AVERAGE(Tabela_4[Qualidade Visual])</f>
        <v>3.3611111111111112</v>
      </c>
      <c r="H38" s="3">
        <f>AVERAGE(Tabela_4[Enquadramento])</f>
        <v>3.8055555555555554</v>
      </c>
      <c r="I38" s="3">
        <f>AVERAGE(Tabela_4[Alinhamento Prompt])</f>
        <v>1.9166666666666667</v>
      </c>
      <c r="J38" s="2">
        <f>MEDIAN(Tabela_4[Alucinações])</f>
        <v>2</v>
      </c>
      <c r="K38" s="2">
        <f>AVERAGE(Tabela_4[Tamanho Prompt])</f>
        <v>5</v>
      </c>
    </row>
    <row r="40" spans="1:11" ht="12.75" x14ac:dyDescent="0.2">
      <c r="J40" s="9" t="s">
        <v>59</v>
      </c>
    </row>
    <row r="49" spans="1:11" ht="12.75" x14ac:dyDescent="0.2">
      <c r="A49" s="10" t="s">
        <v>57</v>
      </c>
      <c r="B49" s="11">
        <f>1 + (5 * E49) + (5 * F49) + (5 * G49) + (5 * H49) + (5 * I49) + (5* J49) + (5* K49)</f>
        <v>71</v>
      </c>
      <c r="C49" s="10" t="s">
        <v>58</v>
      </c>
      <c r="D49" s="11">
        <v>1</v>
      </c>
      <c r="E49" s="11">
        <v>2</v>
      </c>
      <c r="F49" s="11">
        <v>1</v>
      </c>
      <c r="G49" s="11">
        <v>2</v>
      </c>
      <c r="H49" s="11">
        <v>1</v>
      </c>
      <c r="I49" s="11">
        <v>3</v>
      </c>
      <c r="J49" s="11">
        <v>3</v>
      </c>
      <c r="K49" s="11">
        <v>2</v>
      </c>
    </row>
    <row r="50" spans="1:11" ht="12.75" x14ac:dyDescent="0.2">
      <c r="D50" s="11">
        <v>1</v>
      </c>
      <c r="E50" s="11">
        <v>2</v>
      </c>
      <c r="F50" s="11">
        <v>1</v>
      </c>
      <c r="G50" s="11">
        <v>2</v>
      </c>
      <c r="H50" s="11">
        <v>1</v>
      </c>
      <c r="I50" s="11">
        <v>3</v>
      </c>
      <c r="J50" s="11">
        <v>3</v>
      </c>
      <c r="K50" s="11">
        <v>2</v>
      </c>
    </row>
    <row r="51" spans="1:11" ht="12.75" x14ac:dyDescent="0.2">
      <c r="D51" s="11">
        <v>1</v>
      </c>
      <c r="E51" s="11">
        <v>2</v>
      </c>
      <c r="F51" s="11">
        <v>1</v>
      </c>
      <c r="G51" s="11">
        <v>2</v>
      </c>
      <c r="H51" s="11">
        <v>1</v>
      </c>
      <c r="I51" s="11">
        <v>3</v>
      </c>
      <c r="J51" s="11">
        <v>3</v>
      </c>
      <c r="K51" s="11">
        <v>2</v>
      </c>
    </row>
    <row r="52" spans="1:11" ht="12.75" x14ac:dyDescent="0.2">
      <c r="D52" s="11">
        <v>1</v>
      </c>
      <c r="E52" s="11">
        <v>2</v>
      </c>
      <c r="F52" s="11">
        <v>1</v>
      </c>
      <c r="G52" s="11">
        <v>2</v>
      </c>
      <c r="H52" s="11">
        <v>1</v>
      </c>
      <c r="I52" s="11">
        <v>3</v>
      </c>
      <c r="J52" s="11">
        <v>3</v>
      </c>
      <c r="K52" s="11">
        <v>2</v>
      </c>
    </row>
    <row r="53" spans="1:11" ht="12.75" x14ac:dyDescent="0.2">
      <c r="D53" s="11">
        <v>1</v>
      </c>
      <c r="E53" s="11">
        <v>2</v>
      </c>
      <c r="F53" s="11">
        <v>1</v>
      </c>
      <c r="G53" s="11">
        <v>2</v>
      </c>
      <c r="H53" s="11">
        <v>1</v>
      </c>
      <c r="I53" s="11">
        <v>3</v>
      </c>
      <c r="J53" s="11">
        <v>3</v>
      </c>
      <c r="K53" s="11">
        <v>2</v>
      </c>
    </row>
    <row r="54" spans="1:11" ht="12.75" x14ac:dyDescent="0.2">
      <c r="D54" s="11">
        <v>1</v>
      </c>
      <c r="E54" s="11">
        <v>2</v>
      </c>
      <c r="F54" s="11">
        <v>1</v>
      </c>
      <c r="G54" s="11">
        <v>2</v>
      </c>
      <c r="H54" s="11">
        <v>1</v>
      </c>
      <c r="I54" s="11">
        <v>3</v>
      </c>
      <c r="J54" s="11">
        <v>3</v>
      </c>
      <c r="K54" s="11">
        <v>2</v>
      </c>
    </row>
    <row r="55" spans="1:11" ht="12.75" x14ac:dyDescent="0.2">
      <c r="D55" s="11">
        <v>1</v>
      </c>
      <c r="E55" s="11">
        <v>2</v>
      </c>
      <c r="F55" s="11">
        <v>1</v>
      </c>
      <c r="G55" s="11">
        <v>2</v>
      </c>
      <c r="H55" s="11">
        <v>1</v>
      </c>
      <c r="I55" s="11">
        <v>3</v>
      </c>
      <c r="J55" s="11">
        <v>3</v>
      </c>
      <c r="K55" s="11">
        <v>2</v>
      </c>
    </row>
    <row r="56" spans="1:11" ht="12.75" x14ac:dyDescent="0.2">
      <c r="D56" s="11">
        <v>1</v>
      </c>
      <c r="E56" s="11">
        <v>2</v>
      </c>
      <c r="F56" s="11">
        <v>1</v>
      </c>
      <c r="G56" s="11">
        <v>2</v>
      </c>
      <c r="H56" s="11">
        <v>1</v>
      </c>
      <c r="I56" s="11">
        <v>3</v>
      </c>
      <c r="J56" s="11">
        <v>3</v>
      </c>
      <c r="K56" s="11">
        <v>2</v>
      </c>
    </row>
    <row r="57" spans="1:11" ht="12.75" x14ac:dyDescent="0.2">
      <c r="D57" s="11">
        <v>1</v>
      </c>
      <c r="E57" s="11">
        <v>2</v>
      </c>
      <c r="F57" s="11">
        <v>1</v>
      </c>
      <c r="G57" s="11">
        <v>2</v>
      </c>
      <c r="H57" s="11">
        <v>1</v>
      </c>
      <c r="I57" s="11">
        <v>3</v>
      </c>
      <c r="J57" s="11">
        <v>3</v>
      </c>
      <c r="K57" s="11">
        <v>2</v>
      </c>
    </row>
    <row r="58" spans="1:11" ht="12.75" x14ac:dyDescent="0.2">
      <c r="D58" s="11">
        <v>1</v>
      </c>
      <c r="E58" s="11">
        <v>2</v>
      </c>
      <c r="F58" s="11">
        <v>1</v>
      </c>
      <c r="G58" s="11">
        <v>2</v>
      </c>
      <c r="H58" s="11">
        <v>1</v>
      </c>
      <c r="I58" s="11">
        <v>3</v>
      </c>
      <c r="J58" s="11">
        <v>3</v>
      </c>
      <c r="K58" s="11">
        <v>2</v>
      </c>
    </row>
    <row r="59" spans="1:11" ht="12.75" x14ac:dyDescent="0.2">
      <c r="D59" s="11">
        <v>1</v>
      </c>
      <c r="E59" s="11">
        <v>2</v>
      </c>
      <c r="F59" s="11">
        <v>1</v>
      </c>
      <c r="G59" s="11">
        <v>2</v>
      </c>
      <c r="H59" s="11">
        <v>1</v>
      </c>
      <c r="I59" s="11">
        <v>3</v>
      </c>
      <c r="J59" s="11">
        <v>3</v>
      </c>
      <c r="K59" s="11">
        <v>2</v>
      </c>
    </row>
    <row r="60" spans="1:11" ht="12.75" x14ac:dyDescent="0.2">
      <c r="D60" s="11">
        <v>1</v>
      </c>
      <c r="E60" s="11">
        <v>2</v>
      </c>
      <c r="F60" s="11">
        <v>1</v>
      </c>
      <c r="G60" s="11">
        <v>2</v>
      </c>
      <c r="H60" s="11">
        <v>1</v>
      </c>
      <c r="I60" s="11">
        <v>3</v>
      </c>
      <c r="J60" s="11">
        <v>3</v>
      </c>
      <c r="K60" s="11">
        <v>2</v>
      </c>
    </row>
    <row r="61" spans="1:11" ht="12.75" x14ac:dyDescent="0.2">
      <c r="D61" s="11">
        <v>1</v>
      </c>
      <c r="E61" s="11">
        <v>2</v>
      </c>
      <c r="F61" s="11">
        <v>1</v>
      </c>
      <c r="G61" s="11">
        <v>2</v>
      </c>
      <c r="H61" s="11">
        <v>1</v>
      </c>
      <c r="I61" s="11">
        <v>3</v>
      </c>
      <c r="J61" s="11">
        <v>3</v>
      </c>
      <c r="K61" s="11">
        <v>2</v>
      </c>
    </row>
    <row r="62" spans="1:11" ht="12.75" x14ac:dyDescent="0.2">
      <c r="D62" s="11">
        <v>1</v>
      </c>
      <c r="E62" s="11">
        <v>2</v>
      </c>
      <c r="F62" s="11">
        <v>1</v>
      </c>
      <c r="G62" s="11">
        <v>2</v>
      </c>
      <c r="H62" s="11">
        <v>1</v>
      </c>
      <c r="I62" s="11">
        <v>3</v>
      </c>
      <c r="J62" s="11">
        <v>3</v>
      </c>
      <c r="K62" s="11">
        <v>2</v>
      </c>
    </row>
    <row r="63" spans="1:11" ht="12.75" x14ac:dyDescent="0.2">
      <c r="D63" s="11">
        <v>1</v>
      </c>
      <c r="E63" s="11">
        <v>2</v>
      </c>
      <c r="F63" s="11">
        <v>1</v>
      </c>
      <c r="G63" s="11">
        <v>2</v>
      </c>
      <c r="H63" s="11">
        <v>1</v>
      </c>
      <c r="I63" s="11">
        <v>3</v>
      </c>
      <c r="J63" s="11">
        <v>3</v>
      </c>
      <c r="K63" s="11">
        <v>2</v>
      </c>
    </row>
    <row r="64" spans="1:11" ht="12.75" x14ac:dyDescent="0.2">
      <c r="D64" s="11">
        <v>1</v>
      </c>
      <c r="E64" s="11">
        <v>2</v>
      </c>
      <c r="F64" s="11">
        <v>1</v>
      </c>
      <c r="G64" s="11">
        <v>2</v>
      </c>
      <c r="H64" s="11">
        <v>1</v>
      </c>
      <c r="I64" s="11">
        <v>3</v>
      </c>
      <c r="J64" s="11">
        <v>3</v>
      </c>
      <c r="K64" s="11">
        <v>2</v>
      </c>
    </row>
    <row r="65" spans="4:11" ht="12.75" x14ac:dyDescent="0.2">
      <c r="D65" s="11">
        <v>1</v>
      </c>
      <c r="E65" s="11">
        <v>2</v>
      </c>
      <c r="F65" s="11">
        <v>1</v>
      </c>
      <c r="G65" s="11">
        <v>2</v>
      </c>
      <c r="H65" s="11">
        <v>1</v>
      </c>
      <c r="I65" s="11">
        <v>3</v>
      </c>
      <c r="J65" s="11">
        <v>3</v>
      </c>
      <c r="K65" s="11">
        <v>2</v>
      </c>
    </row>
    <row r="66" spans="4:11" ht="12.75" x14ac:dyDescent="0.2">
      <c r="D66" s="11">
        <v>1</v>
      </c>
      <c r="E66" s="11">
        <v>2</v>
      </c>
      <c r="F66" s="11">
        <v>1</v>
      </c>
      <c r="G66" s="11">
        <v>2</v>
      </c>
      <c r="H66" s="11">
        <v>1</v>
      </c>
      <c r="I66" s="11">
        <v>3</v>
      </c>
      <c r="J66" s="11">
        <v>3</v>
      </c>
      <c r="K66" s="11">
        <v>2</v>
      </c>
    </row>
    <row r="67" spans="4:11" ht="12.75" x14ac:dyDescent="0.2">
      <c r="D67" s="11">
        <v>1</v>
      </c>
      <c r="E67" s="11">
        <v>2</v>
      </c>
      <c r="F67" s="11">
        <v>1</v>
      </c>
      <c r="G67" s="11">
        <v>2</v>
      </c>
      <c r="H67" s="11">
        <v>1</v>
      </c>
      <c r="I67" s="11">
        <v>3</v>
      </c>
      <c r="J67" s="11">
        <v>3</v>
      </c>
      <c r="K67" s="11">
        <v>2</v>
      </c>
    </row>
    <row r="68" spans="4:11" ht="12.75" x14ac:dyDescent="0.2">
      <c r="D68" s="11">
        <v>1</v>
      </c>
      <c r="E68" s="11">
        <v>2</v>
      </c>
      <c r="F68" s="11">
        <v>1</v>
      </c>
      <c r="G68" s="11">
        <v>2</v>
      </c>
      <c r="H68" s="11">
        <v>1</v>
      </c>
      <c r="I68" s="11">
        <v>3</v>
      </c>
      <c r="J68" s="11">
        <v>3</v>
      </c>
      <c r="K68" s="11">
        <v>2</v>
      </c>
    </row>
    <row r="69" spans="4:11" ht="12.75" x14ac:dyDescent="0.2">
      <c r="D69" s="11">
        <v>1</v>
      </c>
      <c r="E69" s="11">
        <v>2</v>
      </c>
      <c r="F69" s="11">
        <v>1</v>
      </c>
      <c r="G69" s="11">
        <v>2</v>
      </c>
      <c r="H69" s="11">
        <v>1</v>
      </c>
      <c r="I69" s="11">
        <v>3</v>
      </c>
      <c r="J69" s="11">
        <v>3</v>
      </c>
      <c r="K69" s="11">
        <v>2</v>
      </c>
    </row>
    <row r="70" spans="4:11" ht="12.75" x14ac:dyDescent="0.2">
      <c r="D70" s="11">
        <v>1</v>
      </c>
      <c r="E70" s="11">
        <v>2</v>
      </c>
      <c r="F70" s="11">
        <v>1</v>
      </c>
      <c r="G70" s="11">
        <v>2</v>
      </c>
      <c r="H70" s="11">
        <v>1</v>
      </c>
      <c r="I70" s="11">
        <v>3</v>
      </c>
      <c r="J70" s="11">
        <v>3</v>
      </c>
      <c r="K70" s="11">
        <v>2</v>
      </c>
    </row>
    <row r="71" spans="4:11" ht="12.75" x14ac:dyDescent="0.2">
      <c r="D71" s="11">
        <v>1</v>
      </c>
      <c r="E71" s="11">
        <v>2</v>
      </c>
      <c r="F71" s="11">
        <v>1</v>
      </c>
      <c r="G71" s="11">
        <v>2</v>
      </c>
      <c r="H71" s="11">
        <v>1</v>
      </c>
      <c r="I71" s="11">
        <v>3</v>
      </c>
      <c r="J71" s="11">
        <v>3</v>
      </c>
      <c r="K71" s="11">
        <v>2</v>
      </c>
    </row>
    <row r="72" spans="4:11" ht="12.75" x14ac:dyDescent="0.2">
      <c r="D72" s="11">
        <v>1</v>
      </c>
      <c r="E72" s="11">
        <v>2</v>
      </c>
      <c r="F72" s="11">
        <v>1</v>
      </c>
      <c r="G72" s="11">
        <v>2</v>
      </c>
      <c r="H72" s="11">
        <v>1</v>
      </c>
      <c r="I72" s="11">
        <v>3</v>
      </c>
      <c r="J72" s="11">
        <v>3</v>
      </c>
      <c r="K72" s="11">
        <v>2</v>
      </c>
    </row>
    <row r="73" spans="4:11" ht="12.75" x14ac:dyDescent="0.2">
      <c r="D73" s="11">
        <v>1</v>
      </c>
      <c r="E73" s="11">
        <v>2</v>
      </c>
      <c r="F73" s="11">
        <v>1</v>
      </c>
      <c r="G73" s="11">
        <v>2</v>
      </c>
      <c r="H73" s="11">
        <v>1</v>
      </c>
      <c r="I73" s="11">
        <v>3</v>
      </c>
      <c r="J73" s="11">
        <v>3</v>
      </c>
      <c r="K73" s="11">
        <v>2</v>
      </c>
    </row>
    <row r="74" spans="4:11" ht="12.75" x14ac:dyDescent="0.2">
      <c r="D74" s="11">
        <v>1</v>
      </c>
      <c r="E74" s="11">
        <v>2</v>
      </c>
      <c r="F74" s="11">
        <v>1</v>
      </c>
      <c r="G74" s="11">
        <v>2</v>
      </c>
      <c r="H74" s="11">
        <v>1</v>
      </c>
      <c r="I74" s="11">
        <v>3</v>
      </c>
      <c r="J74" s="11">
        <v>3</v>
      </c>
      <c r="K74" s="11">
        <v>2</v>
      </c>
    </row>
    <row r="75" spans="4:11" ht="12.75" x14ac:dyDescent="0.2">
      <c r="D75" s="11">
        <v>1</v>
      </c>
      <c r="E75" s="11">
        <v>2</v>
      </c>
      <c r="F75" s="11">
        <v>1</v>
      </c>
      <c r="G75" s="11">
        <v>2</v>
      </c>
      <c r="H75" s="11">
        <v>1</v>
      </c>
      <c r="I75" s="11">
        <v>3</v>
      </c>
      <c r="J75" s="11">
        <v>3</v>
      </c>
      <c r="K75" s="11">
        <v>2</v>
      </c>
    </row>
    <row r="76" spans="4:11" ht="12.75" x14ac:dyDescent="0.2">
      <c r="D76" s="11">
        <v>1</v>
      </c>
      <c r="E76" s="11">
        <v>2</v>
      </c>
      <c r="F76" s="11">
        <v>1</v>
      </c>
      <c r="G76" s="11">
        <v>2</v>
      </c>
      <c r="H76" s="11">
        <v>1</v>
      </c>
      <c r="I76" s="11">
        <v>3</v>
      </c>
      <c r="J76" s="11">
        <v>3</v>
      </c>
      <c r="K76" s="11">
        <v>2</v>
      </c>
    </row>
    <row r="77" spans="4:11" ht="12.75" x14ac:dyDescent="0.2">
      <c r="D77" s="11">
        <v>1</v>
      </c>
      <c r="E77" s="11">
        <v>2</v>
      </c>
      <c r="F77" s="11">
        <v>1</v>
      </c>
      <c r="G77" s="11">
        <v>2</v>
      </c>
      <c r="H77" s="11">
        <v>1</v>
      </c>
      <c r="I77" s="11">
        <v>3</v>
      </c>
      <c r="J77" s="11">
        <v>3</v>
      </c>
      <c r="K77" s="11">
        <v>2</v>
      </c>
    </row>
    <row r="78" spans="4:11" ht="12.75" x14ac:dyDescent="0.2">
      <c r="D78" s="11">
        <v>1</v>
      </c>
      <c r="E78" s="11">
        <v>2</v>
      </c>
      <c r="F78" s="11">
        <v>1</v>
      </c>
      <c r="G78" s="11">
        <v>2</v>
      </c>
      <c r="H78" s="11">
        <v>1</v>
      </c>
      <c r="I78" s="11">
        <v>3</v>
      </c>
      <c r="J78" s="11">
        <v>3</v>
      </c>
      <c r="K78" s="11">
        <v>2</v>
      </c>
    </row>
    <row r="79" spans="4:11" ht="12.75" x14ac:dyDescent="0.2">
      <c r="D79" s="11">
        <v>1</v>
      </c>
      <c r="E79" s="11">
        <v>2</v>
      </c>
      <c r="F79" s="11">
        <v>1</v>
      </c>
      <c r="G79" s="11">
        <v>2</v>
      </c>
      <c r="H79" s="11">
        <v>1</v>
      </c>
      <c r="I79" s="11">
        <v>3</v>
      </c>
      <c r="J79" s="11">
        <v>3</v>
      </c>
      <c r="K79" s="11">
        <v>2</v>
      </c>
    </row>
    <row r="80" spans="4:11" ht="12.75" x14ac:dyDescent="0.2">
      <c r="D80" s="11">
        <v>1</v>
      </c>
      <c r="E80" s="11">
        <v>2</v>
      </c>
      <c r="F80" s="11">
        <v>1</v>
      </c>
      <c r="G80" s="11">
        <v>2</v>
      </c>
      <c r="H80" s="11">
        <v>1</v>
      </c>
      <c r="I80" s="11">
        <v>3</v>
      </c>
      <c r="J80" s="11">
        <v>3</v>
      </c>
      <c r="K80" s="11">
        <v>2</v>
      </c>
    </row>
    <row r="81" spans="4:11" ht="12.75" x14ac:dyDescent="0.2">
      <c r="D81" s="11">
        <v>1</v>
      </c>
      <c r="E81" s="11">
        <v>2</v>
      </c>
      <c r="F81" s="11">
        <v>1</v>
      </c>
      <c r="G81" s="11">
        <v>2</v>
      </c>
      <c r="H81" s="11">
        <v>1</v>
      </c>
      <c r="I81" s="11">
        <v>3</v>
      </c>
      <c r="J81" s="11">
        <v>3</v>
      </c>
      <c r="K81" s="11">
        <v>2</v>
      </c>
    </row>
    <row r="82" spans="4:11" ht="12.75" x14ac:dyDescent="0.2">
      <c r="D82" s="11">
        <v>1</v>
      </c>
      <c r="E82" s="11">
        <v>2</v>
      </c>
      <c r="F82" s="11">
        <v>1</v>
      </c>
      <c r="G82" s="11">
        <v>2</v>
      </c>
      <c r="H82" s="11">
        <v>1</v>
      </c>
      <c r="I82" s="11">
        <v>3</v>
      </c>
      <c r="J82" s="11">
        <v>3</v>
      </c>
      <c r="K82" s="11">
        <v>2</v>
      </c>
    </row>
    <row r="83" spans="4:11" ht="12.75" x14ac:dyDescent="0.2">
      <c r="D83" s="11">
        <v>1</v>
      </c>
      <c r="E83" s="11">
        <v>2</v>
      </c>
      <c r="F83" s="11">
        <v>1</v>
      </c>
      <c r="G83" s="11">
        <v>2</v>
      </c>
      <c r="H83" s="11">
        <v>1</v>
      </c>
      <c r="I83" s="11">
        <v>3</v>
      </c>
      <c r="J83" s="11">
        <v>3</v>
      </c>
      <c r="K83" s="11">
        <v>2</v>
      </c>
    </row>
    <row r="84" spans="4:11" ht="12.75" x14ac:dyDescent="0.2">
      <c r="D84" s="11">
        <v>1</v>
      </c>
      <c r="E84" s="11">
        <v>2</v>
      </c>
      <c r="F84" s="11">
        <v>1</v>
      </c>
      <c r="G84" s="11">
        <v>2</v>
      </c>
      <c r="H84" s="11">
        <v>1</v>
      </c>
      <c r="I84" s="11">
        <v>3</v>
      </c>
      <c r="J84" s="11">
        <v>3</v>
      </c>
      <c r="K84" s="11">
        <v>2</v>
      </c>
    </row>
    <row r="85" spans="4:11" ht="12.75" x14ac:dyDescent="0.2">
      <c r="D85" s="11">
        <v>1</v>
      </c>
      <c r="E85" s="11">
        <v>2</v>
      </c>
      <c r="F85" s="11">
        <v>1</v>
      </c>
      <c r="G85" s="11">
        <v>2</v>
      </c>
      <c r="H85" s="11">
        <v>1</v>
      </c>
      <c r="I85" s="11">
        <v>3</v>
      </c>
      <c r="J85" s="11">
        <v>3</v>
      </c>
      <c r="K85" s="11">
        <v>2</v>
      </c>
    </row>
    <row r="86" spans="4:11" ht="12.75" x14ac:dyDescent="0.2">
      <c r="D86" s="11">
        <v>1</v>
      </c>
      <c r="E86" s="11">
        <v>2</v>
      </c>
      <c r="F86" s="11">
        <v>1</v>
      </c>
      <c r="G86" s="11">
        <v>2</v>
      </c>
      <c r="H86" s="11">
        <v>1</v>
      </c>
      <c r="I86" s="11">
        <v>3</v>
      </c>
      <c r="J86" s="11">
        <v>3</v>
      </c>
      <c r="K86" s="11">
        <v>2</v>
      </c>
    </row>
    <row r="87" spans="4:11" ht="12.75" x14ac:dyDescent="0.2">
      <c r="D87" s="11">
        <v>1</v>
      </c>
      <c r="E87" s="11">
        <v>2</v>
      </c>
      <c r="F87" s="11">
        <v>1</v>
      </c>
      <c r="G87" s="11">
        <v>2</v>
      </c>
      <c r="H87" s="11">
        <v>1</v>
      </c>
      <c r="I87" s="11">
        <v>3</v>
      </c>
      <c r="J87" s="11">
        <v>3</v>
      </c>
      <c r="K87" s="11">
        <v>2</v>
      </c>
    </row>
    <row r="88" spans="4:11" ht="12.75" x14ac:dyDescent="0.2">
      <c r="D88" s="11">
        <v>1</v>
      </c>
      <c r="E88" s="11">
        <v>2</v>
      </c>
      <c r="F88" s="11">
        <v>1</v>
      </c>
      <c r="G88" s="11">
        <v>2</v>
      </c>
      <c r="H88" s="11">
        <v>1</v>
      </c>
      <c r="I88" s="11">
        <v>3</v>
      </c>
      <c r="J88" s="11">
        <v>3</v>
      </c>
      <c r="K88" s="11">
        <v>2</v>
      </c>
    </row>
    <row r="89" spans="4:11" ht="12.75" x14ac:dyDescent="0.2">
      <c r="D89" s="11">
        <v>1</v>
      </c>
      <c r="E89" s="11">
        <v>2</v>
      </c>
      <c r="F89" s="11">
        <v>1</v>
      </c>
      <c r="G89" s="11">
        <v>2</v>
      </c>
      <c r="H89" s="11">
        <v>1</v>
      </c>
      <c r="I89" s="11">
        <v>3</v>
      </c>
      <c r="J89" s="11">
        <v>3</v>
      </c>
      <c r="K89" s="11">
        <v>2</v>
      </c>
    </row>
    <row r="90" spans="4:11" ht="12.75" x14ac:dyDescent="0.2">
      <c r="D90" s="11">
        <v>1</v>
      </c>
      <c r="E90" s="11">
        <v>2</v>
      </c>
      <c r="F90" s="11">
        <v>1</v>
      </c>
      <c r="G90" s="11">
        <v>2</v>
      </c>
      <c r="H90" s="11">
        <v>1</v>
      </c>
      <c r="I90" s="11">
        <v>3</v>
      </c>
      <c r="J90" s="11">
        <v>3</v>
      </c>
      <c r="K90" s="11">
        <v>2</v>
      </c>
    </row>
    <row r="91" spans="4:11" ht="12.75" x14ac:dyDescent="0.2">
      <c r="D91" s="11">
        <v>1</v>
      </c>
      <c r="E91" s="11">
        <v>2</v>
      </c>
      <c r="F91" s="11">
        <v>1</v>
      </c>
      <c r="G91" s="11">
        <v>2</v>
      </c>
      <c r="H91" s="11">
        <v>1</v>
      </c>
      <c r="I91" s="11">
        <v>3</v>
      </c>
      <c r="J91" s="11">
        <v>3</v>
      </c>
      <c r="K91" s="11">
        <v>2</v>
      </c>
    </row>
    <row r="92" spans="4:11" ht="12.75" x14ac:dyDescent="0.2">
      <c r="D92" s="11">
        <v>1</v>
      </c>
      <c r="E92" s="11">
        <v>2</v>
      </c>
      <c r="F92" s="11">
        <v>1</v>
      </c>
      <c r="G92" s="11">
        <v>2</v>
      </c>
      <c r="H92" s="11">
        <v>1</v>
      </c>
      <c r="I92" s="11">
        <v>3</v>
      </c>
      <c r="J92" s="11">
        <v>3</v>
      </c>
      <c r="K92" s="11">
        <v>2</v>
      </c>
    </row>
    <row r="93" spans="4:11" ht="12.75" x14ac:dyDescent="0.2">
      <c r="D93" s="11">
        <v>1</v>
      </c>
      <c r="E93" s="11">
        <v>2</v>
      </c>
      <c r="F93" s="11">
        <v>1</v>
      </c>
      <c r="G93" s="11">
        <v>2</v>
      </c>
      <c r="H93" s="11">
        <v>1</v>
      </c>
      <c r="I93" s="11">
        <v>3</v>
      </c>
      <c r="J93" s="11">
        <v>3</v>
      </c>
      <c r="K93" s="11">
        <v>2</v>
      </c>
    </row>
    <row r="94" spans="4:11" ht="12.75" x14ac:dyDescent="0.2">
      <c r="D94" s="11">
        <v>1</v>
      </c>
      <c r="E94" s="11">
        <v>2</v>
      </c>
      <c r="F94" s="11">
        <v>1</v>
      </c>
      <c r="G94" s="11">
        <v>2</v>
      </c>
      <c r="H94" s="11">
        <v>1</v>
      </c>
      <c r="I94" s="11">
        <v>3</v>
      </c>
      <c r="J94" s="11">
        <v>3</v>
      </c>
      <c r="K94" s="11">
        <v>2</v>
      </c>
    </row>
    <row r="95" spans="4:11" ht="12.75" x14ac:dyDescent="0.2">
      <c r="D95" s="11">
        <v>1</v>
      </c>
      <c r="E95" s="11">
        <v>2</v>
      </c>
      <c r="F95" s="11">
        <v>1</v>
      </c>
      <c r="G95" s="11">
        <v>2</v>
      </c>
      <c r="H95" s="11">
        <v>1</v>
      </c>
      <c r="I95" s="11">
        <v>3</v>
      </c>
      <c r="J95" s="11">
        <v>3</v>
      </c>
      <c r="K95" s="11">
        <v>2</v>
      </c>
    </row>
    <row r="96" spans="4:11" ht="12.75" x14ac:dyDescent="0.2">
      <c r="D96" s="11">
        <v>1</v>
      </c>
      <c r="E96" s="11">
        <v>2</v>
      </c>
      <c r="F96" s="11">
        <v>1</v>
      </c>
      <c r="G96" s="11">
        <v>2</v>
      </c>
      <c r="H96" s="11">
        <v>1</v>
      </c>
      <c r="I96" s="11">
        <v>3</v>
      </c>
      <c r="J96" s="11">
        <v>3</v>
      </c>
      <c r="K96" s="11">
        <v>2</v>
      </c>
    </row>
    <row r="97" spans="4:11" ht="12.75" x14ac:dyDescent="0.2">
      <c r="D97" s="11">
        <v>1</v>
      </c>
      <c r="E97" s="11">
        <v>2</v>
      </c>
      <c r="F97" s="11">
        <v>1</v>
      </c>
      <c r="G97" s="11">
        <v>2</v>
      </c>
      <c r="H97" s="11">
        <v>1</v>
      </c>
      <c r="I97" s="11">
        <v>3</v>
      </c>
      <c r="J97" s="11">
        <v>3</v>
      </c>
      <c r="K97" s="11">
        <v>2</v>
      </c>
    </row>
    <row r="98" spans="4:11" ht="12.75" x14ac:dyDescent="0.2">
      <c r="D98" s="11">
        <v>1</v>
      </c>
      <c r="E98" s="11">
        <v>2</v>
      </c>
      <c r="F98" s="11">
        <v>1</v>
      </c>
      <c r="G98" s="11">
        <v>2</v>
      </c>
      <c r="H98" s="11">
        <v>1</v>
      </c>
      <c r="I98" s="11">
        <v>3</v>
      </c>
      <c r="J98" s="11">
        <v>3</v>
      </c>
      <c r="K98" s="11">
        <v>2</v>
      </c>
    </row>
  </sheetData>
  <dataValidations count="2">
    <dataValidation type="list" allowBlank="1" sqref="D2:D37" xr:uid="{00000000-0002-0000-0500-000000000000}">
      <formula1>"True,False"</formula1>
    </dataValidation>
    <dataValidation type="custom" allowBlank="1" showDropDown="1" sqref="B2:C37 E2:K37" xr:uid="{00000000-0002-0000-05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7.5703125" customWidth="1"/>
    <col min="2" max="2" width="16.85546875" customWidth="1"/>
    <col min="3" max="3" width="25.42578125" customWidth="1"/>
    <col min="4" max="4" width="17.140625" customWidth="1"/>
    <col min="5" max="5" width="22.28515625" customWidth="1"/>
    <col min="6" max="6" width="17" customWidth="1"/>
    <col min="7" max="7" width="22.42578125" customWidth="1"/>
    <col min="8" max="8" width="21.85546875" customWidth="1"/>
    <col min="9" max="9" width="25.7109375" customWidth="1"/>
    <col min="10" max="10" width="16.140625" customWidth="1"/>
    <col min="11" max="11" width="22.7109375" customWidth="1"/>
    <col min="12" max="23" width="13.85546875" customWidth="1"/>
  </cols>
  <sheetData>
    <row r="1" spans="1:23" ht="22.5" customHeight="1" x14ac:dyDescent="0.25">
      <c r="A1" s="1" t="s">
        <v>17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3" ht="22.5" customHeight="1" x14ac:dyDescent="0.25">
      <c r="A2" s="2" t="s">
        <v>19</v>
      </c>
      <c r="B2" s="3">
        <f>C2/B49 * 100</f>
        <v>70.422535211267601</v>
      </c>
      <c r="C2" s="2">
        <f>IF(D2, 1, 0) + (E2 * E49) + (F2 * F49) + (G2 * G49) + (H2 * H49) + (I2 * I49) + (J3 * J49) + (K2 * K49)</f>
        <v>50</v>
      </c>
      <c r="D2" s="2" t="b">
        <v>1</v>
      </c>
      <c r="E2" s="2">
        <v>1</v>
      </c>
      <c r="F2" s="2">
        <v>3</v>
      </c>
      <c r="G2" s="2">
        <v>4</v>
      </c>
      <c r="H2" s="2">
        <v>5</v>
      </c>
      <c r="I2" s="2">
        <v>4</v>
      </c>
      <c r="J2" s="14">
        <v>3</v>
      </c>
      <c r="K2" s="2">
        <v>5</v>
      </c>
    </row>
    <row r="3" spans="1:23" ht="22.5" customHeight="1" x14ac:dyDescent="0.25">
      <c r="A3" s="2" t="s">
        <v>20</v>
      </c>
      <c r="B3" s="3">
        <f>C3/B49 * 100</f>
        <v>73.239436619718319</v>
      </c>
      <c r="C3" s="2">
        <f t="shared" ref="C3:C37" si="0">IF(D3, 1, 0) + (E3 * E50) + (F3 * F50) + (G3 * G50) + (H3 * H50) + (I3 * I50) + (J3 * J50) + (K3 * K50)</f>
        <v>52</v>
      </c>
      <c r="D3" s="2" t="b">
        <v>1</v>
      </c>
      <c r="E3" s="2">
        <v>2</v>
      </c>
      <c r="F3" s="2">
        <v>3</v>
      </c>
      <c r="G3" s="2">
        <v>4</v>
      </c>
      <c r="H3" s="2">
        <v>5</v>
      </c>
      <c r="I3" s="2">
        <v>4</v>
      </c>
      <c r="J3" s="14">
        <v>3</v>
      </c>
      <c r="K3" s="2">
        <v>5</v>
      </c>
    </row>
    <row r="4" spans="1:23" ht="22.5" customHeight="1" x14ac:dyDescent="0.25">
      <c r="A4" s="2" t="s">
        <v>21</v>
      </c>
      <c r="B4" s="3">
        <f>C4/B49 * 100</f>
        <v>66.197183098591552</v>
      </c>
      <c r="C4" s="2">
        <f t="shared" si="0"/>
        <v>47</v>
      </c>
      <c r="D4" s="2" t="b">
        <v>0</v>
      </c>
      <c r="E4" s="12">
        <v>0</v>
      </c>
      <c r="F4" s="12">
        <v>3</v>
      </c>
      <c r="G4" s="12">
        <v>4</v>
      </c>
      <c r="H4" s="12">
        <v>5</v>
      </c>
      <c r="I4" s="12">
        <v>4</v>
      </c>
      <c r="J4" s="15">
        <v>3</v>
      </c>
      <c r="K4" s="13">
        <v>5</v>
      </c>
    </row>
    <row r="5" spans="1:23" ht="22.5" customHeight="1" x14ac:dyDescent="0.25">
      <c r="A5" s="2" t="s">
        <v>22</v>
      </c>
      <c r="B5" s="3">
        <f>C5/B49 * 100</f>
        <v>74.647887323943664</v>
      </c>
      <c r="C5" s="2">
        <f t="shared" si="0"/>
        <v>53</v>
      </c>
      <c r="D5" s="2" t="b">
        <v>0</v>
      </c>
      <c r="E5" s="12">
        <v>0</v>
      </c>
      <c r="F5" s="12">
        <v>3</v>
      </c>
      <c r="G5" s="12">
        <v>4</v>
      </c>
      <c r="H5" s="12">
        <v>5</v>
      </c>
      <c r="I5" s="12">
        <v>5</v>
      </c>
      <c r="J5" s="15">
        <v>4</v>
      </c>
      <c r="K5" s="13">
        <v>5</v>
      </c>
    </row>
    <row r="6" spans="1:23" ht="22.5" customHeight="1" x14ac:dyDescent="0.25">
      <c r="A6" s="2" t="s">
        <v>23</v>
      </c>
      <c r="B6" s="3">
        <f>C6/B49 * 100</f>
        <v>70.422535211267601</v>
      </c>
      <c r="C6" s="2">
        <f t="shared" si="0"/>
        <v>50</v>
      </c>
      <c r="D6" s="2" t="b">
        <v>0</v>
      </c>
      <c r="E6" s="12">
        <v>0</v>
      </c>
      <c r="F6" s="12">
        <v>3</v>
      </c>
      <c r="G6" s="12">
        <v>4</v>
      </c>
      <c r="H6" s="12">
        <v>5</v>
      </c>
      <c r="I6" s="12">
        <v>4</v>
      </c>
      <c r="J6" s="15">
        <v>4</v>
      </c>
      <c r="K6" s="13">
        <v>5</v>
      </c>
    </row>
    <row r="7" spans="1:23" ht="22.5" customHeight="1" x14ac:dyDescent="0.25">
      <c r="A7" s="2" t="s">
        <v>24</v>
      </c>
      <c r="B7" s="3">
        <f>C7/B49 * 100</f>
        <v>70.422535211267601</v>
      </c>
      <c r="C7" s="2">
        <f t="shared" si="0"/>
        <v>50</v>
      </c>
      <c r="D7" s="2" t="b">
        <v>0</v>
      </c>
      <c r="E7" s="12">
        <v>0</v>
      </c>
      <c r="F7" s="12">
        <v>3</v>
      </c>
      <c r="G7" s="12">
        <v>4</v>
      </c>
      <c r="H7" s="12">
        <v>5</v>
      </c>
      <c r="I7" s="12">
        <v>5</v>
      </c>
      <c r="J7" s="15">
        <v>3</v>
      </c>
      <c r="K7" s="13">
        <v>5</v>
      </c>
    </row>
    <row r="8" spans="1:23" ht="22.5" customHeight="1" x14ac:dyDescent="0.25">
      <c r="A8" s="19" t="s">
        <v>25</v>
      </c>
      <c r="B8" s="20">
        <f>C8/B49 * 100</f>
        <v>71.83098591549296</v>
      </c>
      <c r="C8" s="12">
        <f t="shared" si="0"/>
        <v>51</v>
      </c>
      <c r="D8" s="21" t="b">
        <v>0</v>
      </c>
      <c r="E8" s="16">
        <v>0</v>
      </c>
      <c r="F8" s="16">
        <v>3</v>
      </c>
      <c r="G8" s="16">
        <v>5</v>
      </c>
      <c r="H8" s="16">
        <v>4</v>
      </c>
      <c r="I8" s="16">
        <v>5</v>
      </c>
      <c r="J8" s="15">
        <v>3</v>
      </c>
      <c r="K8" s="22">
        <v>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spans="1:23" ht="22.5" customHeight="1" x14ac:dyDescent="0.25">
      <c r="A9" s="2" t="s">
        <v>26</v>
      </c>
      <c r="B9" s="3">
        <f>C9/B49 * 100</f>
        <v>61.971830985915489</v>
      </c>
      <c r="C9" s="2">
        <f t="shared" si="0"/>
        <v>44</v>
      </c>
      <c r="D9" s="2" t="b">
        <v>0</v>
      </c>
      <c r="E9" s="12">
        <v>0</v>
      </c>
      <c r="F9" s="12">
        <v>3</v>
      </c>
      <c r="G9" s="12">
        <v>4</v>
      </c>
      <c r="H9" s="12">
        <v>5</v>
      </c>
      <c r="I9" s="12">
        <v>4</v>
      </c>
      <c r="J9" s="15">
        <v>2</v>
      </c>
      <c r="K9" s="2">
        <v>5</v>
      </c>
    </row>
    <row r="10" spans="1:23" ht="22.5" customHeight="1" x14ac:dyDescent="0.25">
      <c r="A10" s="2" t="s">
        <v>27</v>
      </c>
      <c r="B10" s="3">
        <f>C10/B49 * 100</f>
        <v>61.971830985915489</v>
      </c>
      <c r="C10" s="2">
        <f t="shared" si="0"/>
        <v>44</v>
      </c>
      <c r="D10" s="2" t="b">
        <v>0</v>
      </c>
      <c r="E10" s="12">
        <v>0</v>
      </c>
      <c r="F10" s="12">
        <v>3</v>
      </c>
      <c r="G10" s="12">
        <v>4</v>
      </c>
      <c r="H10" s="12">
        <v>5</v>
      </c>
      <c r="I10" s="12">
        <v>4</v>
      </c>
      <c r="J10" s="15">
        <v>2</v>
      </c>
      <c r="K10" s="2">
        <v>5</v>
      </c>
    </row>
    <row r="11" spans="1:23" ht="22.5" customHeight="1" x14ac:dyDescent="0.25">
      <c r="A11" s="2" t="s">
        <v>28</v>
      </c>
      <c r="B11" s="3">
        <f>C11/B49 * 100</f>
        <v>73.239436619718319</v>
      </c>
      <c r="C11" s="2">
        <f t="shared" si="0"/>
        <v>52</v>
      </c>
      <c r="D11" s="2" t="b">
        <v>0</v>
      </c>
      <c r="E11" s="12">
        <v>0</v>
      </c>
      <c r="F11" s="12">
        <v>3</v>
      </c>
      <c r="G11" s="12">
        <v>5</v>
      </c>
      <c r="H11" s="12">
        <v>5</v>
      </c>
      <c r="I11" s="12">
        <v>4</v>
      </c>
      <c r="J11" s="15">
        <v>4</v>
      </c>
      <c r="K11" s="2">
        <v>5</v>
      </c>
    </row>
    <row r="12" spans="1:23" ht="22.5" customHeight="1" x14ac:dyDescent="0.25">
      <c r="A12" s="2" t="s">
        <v>29</v>
      </c>
      <c r="B12" s="3">
        <f>C12/B49 * 100</f>
        <v>60.563380281690137</v>
      </c>
      <c r="C12" s="2">
        <f t="shared" si="0"/>
        <v>43</v>
      </c>
      <c r="D12" s="2" t="b">
        <v>0</v>
      </c>
      <c r="E12" s="12">
        <v>0</v>
      </c>
      <c r="F12" s="12">
        <v>3</v>
      </c>
      <c r="G12" s="12">
        <v>5</v>
      </c>
      <c r="H12" s="12">
        <v>5</v>
      </c>
      <c r="I12" s="12">
        <v>2</v>
      </c>
      <c r="J12" s="15">
        <v>3</v>
      </c>
      <c r="K12" s="2">
        <v>5</v>
      </c>
    </row>
    <row r="13" spans="1:23" ht="22.5" customHeight="1" x14ac:dyDescent="0.25">
      <c r="A13" s="2" t="s">
        <v>30</v>
      </c>
      <c r="B13" s="3">
        <f>C13/B49 * 100</f>
        <v>73.239436619718319</v>
      </c>
      <c r="C13" s="2">
        <f t="shared" si="0"/>
        <v>52</v>
      </c>
      <c r="D13" s="2" t="b">
        <v>0</v>
      </c>
      <c r="E13" s="12">
        <v>0</v>
      </c>
      <c r="F13" s="12">
        <v>3</v>
      </c>
      <c r="G13" s="12">
        <v>5</v>
      </c>
      <c r="H13" s="12">
        <v>5</v>
      </c>
      <c r="I13" s="12">
        <v>4</v>
      </c>
      <c r="J13" s="15">
        <v>4</v>
      </c>
      <c r="K13" s="2">
        <v>5</v>
      </c>
    </row>
    <row r="14" spans="1:23" ht="22.5" customHeight="1" x14ac:dyDescent="0.25">
      <c r="A14" s="2" t="s">
        <v>31</v>
      </c>
      <c r="B14" s="3">
        <f>C14/B49 * 100</f>
        <v>61.971830985915489</v>
      </c>
      <c r="C14" s="2">
        <f t="shared" si="0"/>
        <v>44</v>
      </c>
      <c r="D14" s="2" t="b">
        <v>0</v>
      </c>
      <c r="E14" s="12">
        <v>0</v>
      </c>
      <c r="F14" s="12">
        <v>3</v>
      </c>
      <c r="G14" s="12">
        <v>4</v>
      </c>
      <c r="H14" s="12">
        <v>5</v>
      </c>
      <c r="I14" s="12">
        <v>3</v>
      </c>
      <c r="J14" s="15">
        <v>3</v>
      </c>
      <c r="K14" s="2">
        <v>5</v>
      </c>
    </row>
    <row r="15" spans="1:23" ht="22.5" customHeight="1" x14ac:dyDescent="0.25">
      <c r="A15" s="2" t="s">
        <v>32</v>
      </c>
      <c r="B15" s="3">
        <f>C15/B49 * 100</f>
        <v>73.239436619718319</v>
      </c>
      <c r="C15" s="2">
        <f t="shared" si="0"/>
        <v>52</v>
      </c>
      <c r="D15" s="2" t="b">
        <v>0</v>
      </c>
      <c r="E15" s="12">
        <v>0</v>
      </c>
      <c r="F15" s="12">
        <v>3</v>
      </c>
      <c r="G15" s="12">
        <v>5</v>
      </c>
      <c r="H15" s="12">
        <v>5</v>
      </c>
      <c r="I15" s="12">
        <v>4</v>
      </c>
      <c r="J15" s="15">
        <v>4</v>
      </c>
      <c r="K15" s="2">
        <v>5</v>
      </c>
    </row>
    <row r="16" spans="1:23" ht="22.5" customHeight="1" x14ac:dyDescent="0.25">
      <c r="A16" s="2" t="s">
        <v>33</v>
      </c>
      <c r="B16" s="3">
        <f>C16/B49 * 100</f>
        <v>69.014084507042256</v>
      </c>
      <c r="C16" s="2">
        <f t="shared" si="0"/>
        <v>49</v>
      </c>
      <c r="D16" s="2" t="b">
        <v>0</v>
      </c>
      <c r="E16" s="12">
        <v>0</v>
      </c>
      <c r="F16" s="12">
        <v>3</v>
      </c>
      <c r="G16" s="12">
        <v>5</v>
      </c>
      <c r="H16" s="12">
        <v>5</v>
      </c>
      <c r="I16" s="12">
        <v>3</v>
      </c>
      <c r="J16" s="15">
        <v>4</v>
      </c>
      <c r="K16" s="2">
        <v>5</v>
      </c>
    </row>
    <row r="17" spans="1:11" ht="22.5" customHeight="1" x14ac:dyDescent="0.25">
      <c r="A17" s="2" t="s">
        <v>34</v>
      </c>
      <c r="B17" s="3">
        <f>C17/B49 * 100</f>
        <v>73.239436619718319</v>
      </c>
      <c r="C17" s="2">
        <f t="shared" si="0"/>
        <v>52</v>
      </c>
      <c r="D17" s="2" t="b">
        <v>0</v>
      </c>
      <c r="E17" s="12">
        <v>0</v>
      </c>
      <c r="F17" s="12">
        <v>3</v>
      </c>
      <c r="G17" s="12">
        <v>5</v>
      </c>
      <c r="H17" s="12">
        <v>5</v>
      </c>
      <c r="I17" s="12">
        <v>4</v>
      </c>
      <c r="J17" s="15">
        <v>4</v>
      </c>
      <c r="K17" s="2">
        <v>5</v>
      </c>
    </row>
    <row r="18" spans="1:11" ht="22.5" customHeight="1" x14ac:dyDescent="0.25">
      <c r="A18" s="2" t="s">
        <v>35</v>
      </c>
      <c r="B18" s="3">
        <f>C18/B49 * 100</f>
        <v>69.014084507042256</v>
      </c>
      <c r="C18" s="2">
        <f t="shared" si="0"/>
        <v>49</v>
      </c>
      <c r="D18" s="2" t="b">
        <v>0</v>
      </c>
      <c r="E18" s="12">
        <v>0</v>
      </c>
      <c r="F18" s="12">
        <v>3</v>
      </c>
      <c r="G18" s="12">
        <v>5</v>
      </c>
      <c r="H18" s="12">
        <v>5</v>
      </c>
      <c r="I18" s="12">
        <v>4</v>
      </c>
      <c r="J18" s="15">
        <v>3</v>
      </c>
      <c r="K18" s="2">
        <v>5</v>
      </c>
    </row>
    <row r="19" spans="1:11" ht="22.5" customHeight="1" x14ac:dyDescent="0.25">
      <c r="A19" s="2" t="s">
        <v>36</v>
      </c>
      <c r="B19" s="3">
        <f>C19/B49 * 100</f>
        <v>69.014084507042256</v>
      </c>
      <c r="C19" s="2">
        <f t="shared" si="0"/>
        <v>49</v>
      </c>
      <c r="D19" s="2" t="b">
        <v>0</v>
      </c>
      <c r="E19" s="12">
        <v>0</v>
      </c>
      <c r="F19" s="12">
        <v>3</v>
      </c>
      <c r="G19" s="12">
        <v>5</v>
      </c>
      <c r="H19" s="12">
        <v>5</v>
      </c>
      <c r="I19" s="12">
        <v>4</v>
      </c>
      <c r="J19" s="15">
        <v>3</v>
      </c>
      <c r="K19" s="2">
        <v>5</v>
      </c>
    </row>
    <row r="20" spans="1:11" ht="22.5" customHeight="1" x14ac:dyDescent="0.25">
      <c r="A20" s="2" t="s">
        <v>37</v>
      </c>
      <c r="B20" s="3">
        <f>C20/B49 * 100</f>
        <v>73.239436619718319</v>
      </c>
      <c r="C20" s="2">
        <f t="shared" si="0"/>
        <v>52</v>
      </c>
      <c r="D20" s="2" t="b">
        <v>0</v>
      </c>
      <c r="E20" s="12">
        <v>0</v>
      </c>
      <c r="F20" s="12">
        <v>3</v>
      </c>
      <c r="G20" s="12">
        <v>5</v>
      </c>
      <c r="H20" s="12">
        <v>5</v>
      </c>
      <c r="I20" s="12">
        <v>4</v>
      </c>
      <c r="J20" s="15">
        <v>4</v>
      </c>
      <c r="K20" s="2">
        <v>5</v>
      </c>
    </row>
    <row r="21" spans="1:11" ht="22.5" customHeight="1" x14ac:dyDescent="0.25">
      <c r="A21" s="2" t="s">
        <v>38</v>
      </c>
      <c r="B21" s="3">
        <f>C21/B49 * 100</f>
        <v>60.563380281690137</v>
      </c>
      <c r="C21" s="2">
        <f t="shared" si="0"/>
        <v>43</v>
      </c>
      <c r="D21" s="2" t="b">
        <v>0</v>
      </c>
      <c r="E21" s="12">
        <v>0</v>
      </c>
      <c r="F21" s="12">
        <v>3</v>
      </c>
      <c r="G21" s="12">
        <v>5</v>
      </c>
      <c r="H21" s="12">
        <v>5</v>
      </c>
      <c r="I21" s="12">
        <v>4</v>
      </c>
      <c r="J21" s="15">
        <v>1</v>
      </c>
      <c r="K21" s="2">
        <v>5</v>
      </c>
    </row>
    <row r="22" spans="1:11" ht="22.5" customHeight="1" x14ac:dyDescent="0.25">
      <c r="A22" s="2" t="s">
        <v>39</v>
      </c>
      <c r="B22" s="3">
        <f>C22/B49 * 100</f>
        <v>56.338028169014088</v>
      </c>
      <c r="C22" s="2">
        <f t="shared" si="0"/>
        <v>40</v>
      </c>
      <c r="D22" s="2" t="b">
        <v>0</v>
      </c>
      <c r="E22" s="12">
        <v>0</v>
      </c>
      <c r="F22" s="12">
        <v>3</v>
      </c>
      <c r="G22" s="12">
        <v>5</v>
      </c>
      <c r="H22" s="12">
        <v>5</v>
      </c>
      <c r="I22" s="12">
        <v>3</v>
      </c>
      <c r="J22" s="15">
        <v>1</v>
      </c>
      <c r="K22" s="2">
        <v>5</v>
      </c>
    </row>
    <row r="23" spans="1:11" ht="22.5" customHeight="1" x14ac:dyDescent="0.25">
      <c r="A23" s="2" t="s">
        <v>40</v>
      </c>
      <c r="B23" s="3">
        <f>C23/B49 * 100</f>
        <v>61.971830985915489</v>
      </c>
      <c r="C23" s="2">
        <f t="shared" si="0"/>
        <v>44</v>
      </c>
      <c r="D23" s="2" t="b">
        <v>0</v>
      </c>
      <c r="E23" s="12">
        <v>0</v>
      </c>
      <c r="F23" s="12">
        <v>3</v>
      </c>
      <c r="G23" s="12">
        <v>4</v>
      </c>
      <c r="H23" s="12">
        <v>5</v>
      </c>
      <c r="I23" s="12">
        <v>4</v>
      </c>
      <c r="J23" s="15">
        <v>2</v>
      </c>
      <c r="K23" s="2">
        <v>5</v>
      </c>
    </row>
    <row r="24" spans="1:11" ht="22.5" customHeight="1" x14ac:dyDescent="0.25">
      <c r="A24" s="2" t="s">
        <v>41</v>
      </c>
      <c r="B24" s="3">
        <f>C24/B49 * 100</f>
        <v>57.74647887323944</v>
      </c>
      <c r="C24" s="2">
        <f t="shared" si="0"/>
        <v>41</v>
      </c>
      <c r="D24" s="2" t="b">
        <v>0</v>
      </c>
      <c r="E24" s="12">
        <v>0</v>
      </c>
      <c r="F24" s="12">
        <v>3</v>
      </c>
      <c r="G24" s="12">
        <v>4</v>
      </c>
      <c r="H24" s="12">
        <v>5</v>
      </c>
      <c r="I24" s="12">
        <v>4</v>
      </c>
      <c r="J24" s="15">
        <v>1</v>
      </c>
      <c r="K24" s="2">
        <v>5</v>
      </c>
    </row>
    <row r="25" spans="1:11" ht="22.5" customHeight="1" x14ac:dyDescent="0.25">
      <c r="A25" s="2" t="s">
        <v>42</v>
      </c>
      <c r="B25" s="3">
        <f>C25/B49 * 100</f>
        <v>57.74647887323944</v>
      </c>
      <c r="C25" s="2">
        <f t="shared" si="0"/>
        <v>41</v>
      </c>
      <c r="D25" s="2" t="b">
        <v>0</v>
      </c>
      <c r="E25" s="12">
        <v>0</v>
      </c>
      <c r="F25" s="12">
        <v>3</v>
      </c>
      <c r="G25" s="12">
        <v>5</v>
      </c>
      <c r="H25" s="12">
        <v>3</v>
      </c>
      <c r="I25" s="12">
        <v>3</v>
      </c>
      <c r="J25" s="15">
        <v>2</v>
      </c>
      <c r="K25" s="2">
        <v>5</v>
      </c>
    </row>
    <row r="26" spans="1:11" ht="22.5" customHeight="1" x14ac:dyDescent="0.25">
      <c r="A26" s="2" t="s">
        <v>43</v>
      </c>
      <c r="B26" s="3">
        <f>C26/B49 * 100</f>
        <v>60.563380281690137</v>
      </c>
      <c r="C26" s="2">
        <f t="shared" si="0"/>
        <v>43</v>
      </c>
      <c r="D26" s="2" t="b">
        <v>1</v>
      </c>
      <c r="E26" s="12">
        <v>1</v>
      </c>
      <c r="F26" s="12">
        <v>3</v>
      </c>
      <c r="G26" s="12">
        <v>3</v>
      </c>
      <c r="H26" s="12">
        <v>3</v>
      </c>
      <c r="I26" s="12">
        <v>4</v>
      </c>
      <c r="J26" s="15">
        <v>2</v>
      </c>
      <c r="K26" s="2">
        <v>5</v>
      </c>
    </row>
    <row r="27" spans="1:11" ht="22.5" customHeight="1" x14ac:dyDescent="0.25">
      <c r="A27" s="2" t="s">
        <v>44</v>
      </c>
      <c r="B27" s="3">
        <f>C27/B49 * 100</f>
        <v>63.380281690140848</v>
      </c>
      <c r="C27" s="2">
        <f t="shared" si="0"/>
        <v>45</v>
      </c>
      <c r="D27" s="2" t="b">
        <v>1</v>
      </c>
      <c r="E27" s="12">
        <v>1</v>
      </c>
      <c r="F27" s="12">
        <v>3</v>
      </c>
      <c r="G27" s="12">
        <v>3</v>
      </c>
      <c r="H27" s="12">
        <v>5</v>
      </c>
      <c r="I27" s="12">
        <v>4</v>
      </c>
      <c r="J27" s="15">
        <v>2</v>
      </c>
      <c r="K27" s="2">
        <v>5</v>
      </c>
    </row>
    <row r="28" spans="1:11" ht="22.5" customHeight="1" x14ac:dyDescent="0.25">
      <c r="A28" s="2" t="s">
        <v>45</v>
      </c>
      <c r="B28" s="3">
        <f>C28/B49 * 100</f>
        <v>56.338028169014088</v>
      </c>
      <c r="C28" s="2">
        <f t="shared" si="0"/>
        <v>40</v>
      </c>
      <c r="D28" s="2" t="b">
        <v>1</v>
      </c>
      <c r="E28" s="12">
        <v>1</v>
      </c>
      <c r="F28" s="12">
        <v>3</v>
      </c>
      <c r="G28" s="12">
        <v>3</v>
      </c>
      <c r="H28" s="12">
        <v>3</v>
      </c>
      <c r="I28" s="12">
        <v>3</v>
      </c>
      <c r="J28" s="15">
        <v>2</v>
      </c>
      <c r="K28" s="2">
        <v>5</v>
      </c>
    </row>
    <row r="29" spans="1:11" ht="22.5" customHeight="1" x14ac:dyDescent="0.25">
      <c r="A29" s="2" t="s">
        <v>46</v>
      </c>
      <c r="B29" s="3">
        <f>C29/B49 * 100</f>
        <v>45.070422535211272</v>
      </c>
      <c r="C29" s="2">
        <f t="shared" si="0"/>
        <v>32</v>
      </c>
      <c r="D29" s="2" t="b">
        <v>0</v>
      </c>
      <c r="E29" s="12">
        <v>0</v>
      </c>
      <c r="F29" s="12">
        <v>3</v>
      </c>
      <c r="G29" s="12">
        <v>3</v>
      </c>
      <c r="H29" s="12">
        <v>4</v>
      </c>
      <c r="I29" s="12">
        <v>2</v>
      </c>
      <c r="J29" s="15">
        <v>1</v>
      </c>
      <c r="K29" s="2">
        <v>5</v>
      </c>
    </row>
    <row r="30" spans="1:11" ht="22.5" customHeight="1" x14ac:dyDescent="0.25">
      <c r="A30" s="2" t="s">
        <v>47</v>
      </c>
      <c r="B30" s="3">
        <f>C30/B49 * 100</f>
        <v>60.563380281690137</v>
      </c>
      <c r="C30" s="2">
        <f t="shared" si="0"/>
        <v>43</v>
      </c>
      <c r="D30" s="2" t="b">
        <v>0</v>
      </c>
      <c r="E30" s="12">
        <v>0</v>
      </c>
      <c r="F30" s="12">
        <v>3</v>
      </c>
      <c r="G30" s="12">
        <v>4</v>
      </c>
      <c r="H30" s="12">
        <v>4</v>
      </c>
      <c r="I30" s="12">
        <v>2</v>
      </c>
      <c r="J30" s="15">
        <v>4</v>
      </c>
      <c r="K30" s="2">
        <v>5</v>
      </c>
    </row>
    <row r="31" spans="1:11" ht="22.5" customHeight="1" x14ac:dyDescent="0.25">
      <c r="A31" s="2" t="s">
        <v>48</v>
      </c>
      <c r="B31" s="3">
        <f>C31/B49 * 100</f>
        <v>60.563380281690137</v>
      </c>
      <c r="C31" s="2">
        <f t="shared" si="0"/>
        <v>43</v>
      </c>
      <c r="D31" s="2" t="b">
        <v>0</v>
      </c>
      <c r="E31" s="12">
        <v>0</v>
      </c>
      <c r="F31" s="12">
        <v>3</v>
      </c>
      <c r="G31" s="12">
        <v>5</v>
      </c>
      <c r="H31" s="12">
        <v>5</v>
      </c>
      <c r="I31" s="12">
        <v>3</v>
      </c>
      <c r="J31" s="15">
        <v>2</v>
      </c>
      <c r="K31" s="2">
        <v>5</v>
      </c>
    </row>
    <row r="32" spans="1:11" ht="22.5" customHeight="1" x14ac:dyDescent="0.25">
      <c r="A32" s="2" t="s">
        <v>49</v>
      </c>
      <c r="B32" s="3">
        <f>C32/B49 * 100</f>
        <v>64.788732394366207</v>
      </c>
      <c r="C32" s="2">
        <f t="shared" si="0"/>
        <v>46</v>
      </c>
      <c r="D32" s="2" t="b">
        <v>1</v>
      </c>
      <c r="E32" s="16">
        <v>2</v>
      </c>
      <c r="F32" s="12">
        <v>3</v>
      </c>
      <c r="G32" s="12">
        <v>4</v>
      </c>
      <c r="H32" s="12">
        <v>5</v>
      </c>
      <c r="I32" s="12">
        <v>3</v>
      </c>
      <c r="J32" s="15">
        <v>2</v>
      </c>
      <c r="K32" s="2">
        <v>5</v>
      </c>
    </row>
    <row r="33" spans="1:11" ht="22.5" customHeight="1" x14ac:dyDescent="0.25">
      <c r="A33" s="2" t="s">
        <v>50</v>
      </c>
      <c r="B33" s="3">
        <f>C33/B49 * 100</f>
        <v>64.788732394366207</v>
      </c>
      <c r="C33" s="2">
        <f t="shared" si="0"/>
        <v>46</v>
      </c>
      <c r="D33" s="2" t="b">
        <v>1</v>
      </c>
      <c r="E33" s="16">
        <v>1</v>
      </c>
      <c r="F33" s="12">
        <v>3</v>
      </c>
      <c r="G33" s="12">
        <v>5</v>
      </c>
      <c r="H33" s="12">
        <v>5</v>
      </c>
      <c r="I33" s="12">
        <v>3</v>
      </c>
      <c r="J33" s="15">
        <v>2</v>
      </c>
      <c r="K33" s="2">
        <v>5</v>
      </c>
    </row>
    <row r="34" spans="1:11" ht="22.5" customHeight="1" x14ac:dyDescent="0.25">
      <c r="A34" s="2" t="s">
        <v>51</v>
      </c>
      <c r="B34" s="3">
        <f>C34/B49 * 100</f>
        <v>57.74647887323944</v>
      </c>
      <c r="C34" s="2">
        <f t="shared" si="0"/>
        <v>41</v>
      </c>
      <c r="D34" s="2" t="b">
        <v>1</v>
      </c>
      <c r="E34" s="16">
        <v>1</v>
      </c>
      <c r="F34" s="16">
        <v>3</v>
      </c>
      <c r="G34" s="16">
        <v>4</v>
      </c>
      <c r="H34" s="16">
        <v>5</v>
      </c>
      <c r="I34" s="16">
        <v>3</v>
      </c>
      <c r="J34" s="15">
        <v>1</v>
      </c>
      <c r="K34" s="2">
        <v>5</v>
      </c>
    </row>
    <row r="35" spans="1:11" ht="22.5" customHeight="1" x14ac:dyDescent="0.25">
      <c r="A35" s="2" t="s">
        <v>52</v>
      </c>
      <c r="B35" s="3">
        <f>C35/B49 * 100</f>
        <v>66.197183098591552</v>
      </c>
      <c r="C35" s="2">
        <f t="shared" si="0"/>
        <v>47</v>
      </c>
      <c r="D35" s="2" t="b">
        <v>1</v>
      </c>
      <c r="E35" s="16">
        <v>1</v>
      </c>
      <c r="F35" s="16">
        <v>3</v>
      </c>
      <c r="G35" s="16">
        <v>4</v>
      </c>
      <c r="H35" s="16">
        <v>5</v>
      </c>
      <c r="I35" s="16">
        <v>3</v>
      </c>
      <c r="J35" s="15">
        <v>3</v>
      </c>
      <c r="K35" s="2">
        <v>5</v>
      </c>
    </row>
    <row r="36" spans="1:11" ht="22.5" customHeight="1" x14ac:dyDescent="0.25">
      <c r="A36" s="2" t="s">
        <v>53</v>
      </c>
      <c r="B36" s="3">
        <f>C36/B49 * 100</f>
        <v>73.239436619718319</v>
      </c>
      <c r="C36" s="2">
        <f t="shared" si="0"/>
        <v>52</v>
      </c>
      <c r="D36" s="2" t="b">
        <v>1</v>
      </c>
      <c r="E36" s="16">
        <v>1</v>
      </c>
      <c r="F36" s="16">
        <v>3</v>
      </c>
      <c r="G36" s="16">
        <v>5</v>
      </c>
      <c r="H36" s="16">
        <v>5</v>
      </c>
      <c r="I36" s="16">
        <v>4</v>
      </c>
      <c r="J36" s="15">
        <v>3</v>
      </c>
      <c r="K36" s="2">
        <v>5</v>
      </c>
    </row>
    <row r="37" spans="1:11" ht="22.5" customHeight="1" x14ac:dyDescent="0.25">
      <c r="A37" s="2" t="s">
        <v>54</v>
      </c>
      <c r="B37" s="3">
        <f>C37/B49 * 100</f>
        <v>70.422535211267601</v>
      </c>
      <c r="C37" s="2">
        <f t="shared" si="0"/>
        <v>50</v>
      </c>
      <c r="D37" s="2" t="b">
        <v>1</v>
      </c>
      <c r="E37" s="16">
        <v>1</v>
      </c>
      <c r="F37" s="16">
        <v>3</v>
      </c>
      <c r="G37" s="16">
        <v>4</v>
      </c>
      <c r="H37" s="16">
        <v>5</v>
      </c>
      <c r="I37" s="16">
        <v>4</v>
      </c>
      <c r="J37" s="15">
        <v>3</v>
      </c>
      <c r="K37" s="2">
        <v>5</v>
      </c>
    </row>
    <row r="38" spans="1:11" ht="22.5" customHeight="1" x14ac:dyDescent="0.25">
      <c r="A38" s="2" t="s">
        <v>55</v>
      </c>
      <c r="B38" s="3">
        <f>MEDIAN(Tabela_5[Nota Final (%)])</f>
        <v>65.492957746478879</v>
      </c>
      <c r="C38" s="2">
        <f>MEDIAN(Tabela_5[Pontos Totais (max 71)])</f>
        <v>46.5</v>
      </c>
      <c r="D38" s="2"/>
      <c r="E38" s="3">
        <f>AVERAGE(Tabela_5[o texo é legivel?])</f>
        <v>0.3611111111111111</v>
      </c>
      <c r="F38" s="2">
        <f>AVERAGE(Tabela_5[Resolução])</f>
        <v>3</v>
      </c>
      <c r="G38" s="3">
        <f>AVERAGE(Tabela_5[Qualidade Visual])</f>
        <v>4.333333333333333</v>
      </c>
      <c r="H38" s="3">
        <f>AVERAGE(Tabela_5[Enquadramento])</f>
        <v>4.75</v>
      </c>
      <c r="I38" s="3">
        <f>AVERAGE(Tabela_5[Alinhamento Prompt])</f>
        <v>3.6388888888888888</v>
      </c>
      <c r="J38" s="2">
        <f>MEDIAN(Tabela_5[Alucinações])</f>
        <v>3</v>
      </c>
      <c r="K38" s="2">
        <f>AVERAGE(Tabela_5[Tamanho Prompt])</f>
        <v>5</v>
      </c>
    </row>
    <row r="40" spans="1:11" ht="12.75" x14ac:dyDescent="0.2">
      <c r="J40" s="9" t="s">
        <v>59</v>
      </c>
    </row>
    <row r="49" spans="1:11" ht="12.75" x14ac:dyDescent="0.2">
      <c r="A49" s="10" t="s">
        <v>57</v>
      </c>
      <c r="B49" s="11">
        <f>1 + (5 * E49) + (5 * F49) + (5 * G49) + (5 * H49) + (5 * I49) + (5* J49) + (5* K49)</f>
        <v>71</v>
      </c>
      <c r="C49" s="10" t="s">
        <v>58</v>
      </c>
      <c r="D49" s="11">
        <v>1</v>
      </c>
      <c r="E49" s="11">
        <v>2</v>
      </c>
      <c r="F49" s="11">
        <v>1</v>
      </c>
      <c r="G49" s="11">
        <v>2</v>
      </c>
      <c r="H49" s="11">
        <v>1</v>
      </c>
      <c r="I49" s="11">
        <v>3</v>
      </c>
      <c r="J49" s="11">
        <v>3</v>
      </c>
      <c r="K49" s="11">
        <v>2</v>
      </c>
    </row>
    <row r="50" spans="1:11" ht="12.75" x14ac:dyDescent="0.2">
      <c r="D50" s="11">
        <v>1</v>
      </c>
      <c r="E50" s="11">
        <v>2</v>
      </c>
      <c r="F50" s="11">
        <v>1</v>
      </c>
      <c r="G50" s="11">
        <v>2</v>
      </c>
      <c r="H50" s="11">
        <v>1</v>
      </c>
      <c r="I50" s="11">
        <v>3</v>
      </c>
      <c r="J50" s="11">
        <v>3</v>
      </c>
      <c r="K50" s="11">
        <v>2</v>
      </c>
    </row>
    <row r="51" spans="1:11" ht="12.75" x14ac:dyDescent="0.2">
      <c r="D51" s="11">
        <v>1</v>
      </c>
      <c r="E51" s="11">
        <v>2</v>
      </c>
      <c r="F51" s="11">
        <v>1</v>
      </c>
      <c r="G51" s="11">
        <v>2</v>
      </c>
      <c r="H51" s="11">
        <v>1</v>
      </c>
      <c r="I51" s="11">
        <v>3</v>
      </c>
      <c r="J51" s="11">
        <v>3</v>
      </c>
      <c r="K51" s="11">
        <v>2</v>
      </c>
    </row>
    <row r="52" spans="1:11" ht="12.75" x14ac:dyDescent="0.2">
      <c r="D52" s="11">
        <v>1</v>
      </c>
      <c r="E52" s="11">
        <v>2</v>
      </c>
      <c r="F52" s="11">
        <v>1</v>
      </c>
      <c r="G52" s="11">
        <v>2</v>
      </c>
      <c r="H52" s="11">
        <v>1</v>
      </c>
      <c r="I52" s="11">
        <v>3</v>
      </c>
      <c r="J52" s="11">
        <v>3</v>
      </c>
      <c r="K52" s="11">
        <v>2</v>
      </c>
    </row>
    <row r="53" spans="1:11" ht="12.75" x14ac:dyDescent="0.2">
      <c r="D53" s="11">
        <v>1</v>
      </c>
      <c r="E53" s="11">
        <v>2</v>
      </c>
      <c r="F53" s="11">
        <v>1</v>
      </c>
      <c r="G53" s="11">
        <v>2</v>
      </c>
      <c r="H53" s="11">
        <v>1</v>
      </c>
      <c r="I53" s="11">
        <v>3</v>
      </c>
      <c r="J53" s="11">
        <v>3</v>
      </c>
      <c r="K53" s="11">
        <v>2</v>
      </c>
    </row>
    <row r="54" spans="1:11" ht="12.75" x14ac:dyDescent="0.2">
      <c r="D54" s="11">
        <v>1</v>
      </c>
      <c r="E54" s="11">
        <v>2</v>
      </c>
      <c r="F54" s="11">
        <v>1</v>
      </c>
      <c r="G54" s="11">
        <v>2</v>
      </c>
      <c r="H54" s="11">
        <v>1</v>
      </c>
      <c r="I54" s="11">
        <v>3</v>
      </c>
      <c r="J54" s="11">
        <v>3</v>
      </c>
      <c r="K54" s="11">
        <v>2</v>
      </c>
    </row>
    <row r="55" spans="1:11" ht="12.75" x14ac:dyDescent="0.2">
      <c r="D55" s="11">
        <v>1</v>
      </c>
      <c r="E55" s="11">
        <v>2</v>
      </c>
      <c r="F55" s="11">
        <v>1</v>
      </c>
      <c r="G55" s="11">
        <v>2</v>
      </c>
      <c r="H55" s="11">
        <v>1</v>
      </c>
      <c r="I55" s="11">
        <v>3</v>
      </c>
      <c r="J55" s="11">
        <v>3</v>
      </c>
      <c r="K55" s="11">
        <v>2</v>
      </c>
    </row>
    <row r="56" spans="1:11" ht="12.75" x14ac:dyDescent="0.2">
      <c r="D56" s="11">
        <v>1</v>
      </c>
      <c r="E56" s="11">
        <v>2</v>
      </c>
      <c r="F56" s="11">
        <v>1</v>
      </c>
      <c r="G56" s="11">
        <v>2</v>
      </c>
      <c r="H56" s="11">
        <v>1</v>
      </c>
      <c r="I56" s="11">
        <v>3</v>
      </c>
      <c r="J56" s="11">
        <v>3</v>
      </c>
      <c r="K56" s="11">
        <v>2</v>
      </c>
    </row>
    <row r="57" spans="1:11" ht="12.75" x14ac:dyDescent="0.2">
      <c r="D57" s="11">
        <v>1</v>
      </c>
      <c r="E57" s="11">
        <v>2</v>
      </c>
      <c r="F57" s="11">
        <v>1</v>
      </c>
      <c r="G57" s="11">
        <v>2</v>
      </c>
      <c r="H57" s="11">
        <v>1</v>
      </c>
      <c r="I57" s="11">
        <v>3</v>
      </c>
      <c r="J57" s="11">
        <v>3</v>
      </c>
      <c r="K57" s="11">
        <v>2</v>
      </c>
    </row>
    <row r="58" spans="1:11" ht="12.75" x14ac:dyDescent="0.2">
      <c r="D58" s="11">
        <v>1</v>
      </c>
      <c r="E58" s="11">
        <v>2</v>
      </c>
      <c r="F58" s="11">
        <v>1</v>
      </c>
      <c r="G58" s="11">
        <v>2</v>
      </c>
      <c r="H58" s="11">
        <v>1</v>
      </c>
      <c r="I58" s="11">
        <v>3</v>
      </c>
      <c r="J58" s="11">
        <v>3</v>
      </c>
      <c r="K58" s="11">
        <v>2</v>
      </c>
    </row>
    <row r="59" spans="1:11" ht="12.75" x14ac:dyDescent="0.2">
      <c r="D59" s="11">
        <v>1</v>
      </c>
      <c r="E59" s="11">
        <v>2</v>
      </c>
      <c r="F59" s="11">
        <v>1</v>
      </c>
      <c r="G59" s="11">
        <v>2</v>
      </c>
      <c r="H59" s="11">
        <v>1</v>
      </c>
      <c r="I59" s="11">
        <v>3</v>
      </c>
      <c r="J59" s="11">
        <v>3</v>
      </c>
      <c r="K59" s="11">
        <v>2</v>
      </c>
    </row>
    <row r="60" spans="1:11" ht="12.75" x14ac:dyDescent="0.2">
      <c r="D60" s="11">
        <v>1</v>
      </c>
      <c r="E60" s="11">
        <v>2</v>
      </c>
      <c r="F60" s="11">
        <v>1</v>
      </c>
      <c r="G60" s="11">
        <v>2</v>
      </c>
      <c r="H60" s="11">
        <v>1</v>
      </c>
      <c r="I60" s="11">
        <v>3</v>
      </c>
      <c r="J60" s="11">
        <v>3</v>
      </c>
      <c r="K60" s="11">
        <v>2</v>
      </c>
    </row>
    <row r="61" spans="1:11" ht="12.75" x14ac:dyDescent="0.2">
      <c r="D61" s="11">
        <v>1</v>
      </c>
      <c r="E61" s="11">
        <v>2</v>
      </c>
      <c r="F61" s="11">
        <v>1</v>
      </c>
      <c r="G61" s="11">
        <v>2</v>
      </c>
      <c r="H61" s="11">
        <v>1</v>
      </c>
      <c r="I61" s="11">
        <v>3</v>
      </c>
      <c r="J61" s="11">
        <v>3</v>
      </c>
      <c r="K61" s="11">
        <v>2</v>
      </c>
    </row>
    <row r="62" spans="1:11" ht="12.75" x14ac:dyDescent="0.2">
      <c r="D62" s="11">
        <v>1</v>
      </c>
      <c r="E62" s="11">
        <v>2</v>
      </c>
      <c r="F62" s="11">
        <v>1</v>
      </c>
      <c r="G62" s="11">
        <v>2</v>
      </c>
      <c r="H62" s="11">
        <v>1</v>
      </c>
      <c r="I62" s="11">
        <v>3</v>
      </c>
      <c r="J62" s="11">
        <v>3</v>
      </c>
      <c r="K62" s="11">
        <v>2</v>
      </c>
    </row>
    <row r="63" spans="1:11" ht="12.75" x14ac:dyDescent="0.2">
      <c r="D63" s="11">
        <v>1</v>
      </c>
      <c r="E63" s="11">
        <v>2</v>
      </c>
      <c r="F63" s="11">
        <v>1</v>
      </c>
      <c r="G63" s="11">
        <v>2</v>
      </c>
      <c r="H63" s="11">
        <v>1</v>
      </c>
      <c r="I63" s="11">
        <v>3</v>
      </c>
      <c r="J63" s="11">
        <v>3</v>
      </c>
      <c r="K63" s="11">
        <v>2</v>
      </c>
    </row>
    <row r="64" spans="1:11" ht="12.75" x14ac:dyDescent="0.2">
      <c r="D64" s="11">
        <v>1</v>
      </c>
      <c r="E64" s="11">
        <v>2</v>
      </c>
      <c r="F64" s="11">
        <v>1</v>
      </c>
      <c r="G64" s="11">
        <v>2</v>
      </c>
      <c r="H64" s="11">
        <v>1</v>
      </c>
      <c r="I64" s="11">
        <v>3</v>
      </c>
      <c r="J64" s="11">
        <v>3</v>
      </c>
      <c r="K64" s="11">
        <v>2</v>
      </c>
    </row>
    <row r="65" spans="4:11" ht="12.75" x14ac:dyDescent="0.2">
      <c r="D65" s="11">
        <v>1</v>
      </c>
      <c r="E65" s="11">
        <v>2</v>
      </c>
      <c r="F65" s="11">
        <v>1</v>
      </c>
      <c r="G65" s="11">
        <v>2</v>
      </c>
      <c r="H65" s="11">
        <v>1</v>
      </c>
      <c r="I65" s="11">
        <v>3</v>
      </c>
      <c r="J65" s="11">
        <v>3</v>
      </c>
      <c r="K65" s="11">
        <v>2</v>
      </c>
    </row>
    <row r="66" spans="4:11" ht="12.75" x14ac:dyDescent="0.2">
      <c r="D66" s="11">
        <v>1</v>
      </c>
      <c r="E66" s="11">
        <v>2</v>
      </c>
      <c r="F66" s="11">
        <v>1</v>
      </c>
      <c r="G66" s="11">
        <v>2</v>
      </c>
      <c r="H66" s="11">
        <v>1</v>
      </c>
      <c r="I66" s="11">
        <v>3</v>
      </c>
      <c r="J66" s="11">
        <v>3</v>
      </c>
      <c r="K66" s="11">
        <v>2</v>
      </c>
    </row>
    <row r="67" spans="4:11" ht="12.75" x14ac:dyDescent="0.2">
      <c r="D67" s="11">
        <v>1</v>
      </c>
      <c r="E67" s="11">
        <v>2</v>
      </c>
      <c r="F67" s="11">
        <v>1</v>
      </c>
      <c r="G67" s="11">
        <v>2</v>
      </c>
      <c r="H67" s="11">
        <v>1</v>
      </c>
      <c r="I67" s="11">
        <v>3</v>
      </c>
      <c r="J67" s="11">
        <v>3</v>
      </c>
      <c r="K67" s="11">
        <v>2</v>
      </c>
    </row>
    <row r="68" spans="4:11" ht="12.75" x14ac:dyDescent="0.2">
      <c r="D68" s="11">
        <v>1</v>
      </c>
      <c r="E68" s="11">
        <v>2</v>
      </c>
      <c r="F68" s="11">
        <v>1</v>
      </c>
      <c r="G68" s="11">
        <v>2</v>
      </c>
      <c r="H68" s="11">
        <v>1</v>
      </c>
      <c r="I68" s="11">
        <v>3</v>
      </c>
      <c r="J68" s="11">
        <v>3</v>
      </c>
      <c r="K68" s="11">
        <v>2</v>
      </c>
    </row>
    <row r="69" spans="4:11" ht="12.75" x14ac:dyDescent="0.2">
      <c r="D69" s="11">
        <v>1</v>
      </c>
      <c r="E69" s="11">
        <v>2</v>
      </c>
      <c r="F69" s="11">
        <v>1</v>
      </c>
      <c r="G69" s="11">
        <v>2</v>
      </c>
      <c r="H69" s="11">
        <v>1</v>
      </c>
      <c r="I69" s="11">
        <v>3</v>
      </c>
      <c r="J69" s="11">
        <v>3</v>
      </c>
      <c r="K69" s="11">
        <v>2</v>
      </c>
    </row>
    <row r="70" spans="4:11" ht="12.75" x14ac:dyDescent="0.2">
      <c r="D70" s="11">
        <v>1</v>
      </c>
      <c r="E70" s="11">
        <v>2</v>
      </c>
      <c r="F70" s="11">
        <v>1</v>
      </c>
      <c r="G70" s="11">
        <v>2</v>
      </c>
      <c r="H70" s="11">
        <v>1</v>
      </c>
      <c r="I70" s="11">
        <v>3</v>
      </c>
      <c r="J70" s="11">
        <v>3</v>
      </c>
      <c r="K70" s="11">
        <v>2</v>
      </c>
    </row>
    <row r="71" spans="4:11" ht="12.75" x14ac:dyDescent="0.2">
      <c r="D71" s="11">
        <v>1</v>
      </c>
      <c r="E71" s="11">
        <v>2</v>
      </c>
      <c r="F71" s="11">
        <v>1</v>
      </c>
      <c r="G71" s="11">
        <v>2</v>
      </c>
      <c r="H71" s="11">
        <v>1</v>
      </c>
      <c r="I71" s="11">
        <v>3</v>
      </c>
      <c r="J71" s="11">
        <v>3</v>
      </c>
      <c r="K71" s="11">
        <v>2</v>
      </c>
    </row>
    <row r="72" spans="4:11" ht="12.75" x14ac:dyDescent="0.2">
      <c r="D72" s="11">
        <v>1</v>
      </c>
      <c r="E72" s="11">
        <v>2</v>
      </c>
      <c r="F72" s="11">
        <v>1</v>
      </c>
      <c r="G72" s="11">
        <v>2</v>
      </c>
      <c r="H72" s="11">
        <v>1</v>
      </c>
      <c r="I72" s="11">
        <v>3</v>
      </c>
      <c r="J72" s="11">
        <v>3</v>
      </c>
      <c r="K72" s="11">
        <v>2</v>
      </c>
    </row>
    <row r="73" spans="4:11" ht="12.75" x14ac:dyDescent="0.2">
      <c r="D73" s="11">
        <v>1</v>
      </c>
      <c r="E73" s="11">
        <v>2</v>
      </c>
      <c r="F73" s="11">
        <v>1</v>
      </c>
      <c r="G73" s="11">
        <v>2</v>
      </c>
      <c r="H73" s="11">
        <v>1</v>
      </c>
      <c r="I73" s="11">
        <v>3</v>
      </c>
      <c r="J73" s="11">
        <v>3</v>
      </c>
      <c r="K73" s="11">
        <v>2</v>
      </c>
    </row>
    <row r="74" spans="4:11" ht="12.75" x14ac:dyDescent="0.2">
      <c r="D74" s="11">
        <v>1</v>
      </c>
      <c r="E74" s="11">
        <v>2</v>
      </c>
      <c r="F74" s="11">
        <v>1</v>
      </c>
      <c r="G74" s="11">
        <v>2</v>
      </c>
      <c r="H74" s="11">
        <v>1</v>
      </c>
      <c r="I74" s="11">
        <v>3</v>
      </c>
      <c r="J74" s="11">
        <v>3</v>
      </c>
      <c r="K74" s="11">
        <v>2</v>
      </c>
    </row>
    <row r="75" spans="4:11" ht="12.75" x14ac:dyDescent="0.2">
      <c r="D75" s="11">
        <v>1</v>
      </c>
      <c r="E75" s="11">
        <v>2</v>
      </c>
      <c r="F75" s="11">
        <v>1</v>
      </c>
      <c r="G75" s="11">
        <v>2</v>
      </c>
      <c r="H75" s="11">
        <v>1</v>
      </c>
      <c r="I75" s="11">
        <v>3</v>
      </c>
      <c r="J75" s="11">
        <v>3</v>
      </c>
      <c r="K75" s="11">
        <v>2</v>
      </c>
    </row>
    <row r="76" spans="4:11" ht="12.75" x14ac:dyDescent="0.2">
      <c r="D76" s="11">
        <v>1</v>
      </c>
      <c r="E76" s="11">
        <v>2</v>
      </c>
      <c r="F76" s="11">
        <v>1</v>
      </c>
      <c r="G76" s="11">
        <v>2</v>
      </c>
      <c r="H76" s="11">
        <v>1</v>
      </c>
      <c r="I76" s="11">
        <v>3</v>
      </c>
      <c r="J76" s="11">
        <v>3</v>
      </c>
      <c r="K76" s="11">
        <v>2</v>
      </c>
    </row>
    <row r="77" spans="4:11" ht="12.75" x14ac:dyDescent="0.2">
      <c r="D77" s="11">
        <v>1</v>
      </c>
      <c r="E77" s="11">
        <v>2</v>
      </c>
      <c r="F77" s="11">
        <v>1</v>
      </c>
      <c r="G77" s="11">
        <v>2</v>
      </c>
      <c r="H77" s="11">
        <v>1</v>
      </c>
      <c r="I77" s="11">
        <v>3</v>
      </c>
      <c r="J77" s="11">
        <v>3</v>
      </c>
      <c r="K77" s="11">
        <v>2</v>
      </c>
    </row>
    <row r="78" spans="4:11" ht="12.75" x14ac:dyDescent="0.2">
      <c r="D78" s="11">
        <v>1</v>
      </c>
      <c r="E78" s="11">
        <v>2</v>
      </c>
      <c r="F78" s="11">
        <v>1</v>
      </c>
      <c r="G78" s="11">
        <v>2</v>
      </c>
      <c r="H78" s="11">
        <v>1</v>
      </c>
      <c r="I78" s="11">
        <v>3</v>
      </c>
      <c r="J78" s="11">
        <v>3</v>
      </c>
      <c r="K78" s="11">
        <v>2</v>
      </c>
    </row>
    <row r="79" spans="4:11" ht="12.75" x14ac:dyDescent="0.2">
      <c r="D79" s="11">
        <v>1</v>
      </c>
      <c r="E79" s="11">
        <v>2</v>
      </c>
      <c r="F79" s="11">
        <v>1</v>
      </c>
      <c r="G79" s="11">
        <v>2</v>
      </c>
      <c r="H79" s="11">
        <v>1</v>
      </c>
      <c r="I79" s="11">
        <v>3</v>
      </c>
      <c r="J79" s="11">
        <v>3</v>
      </c>
      <c r="K79" s="11">
        <v>2</v>
      </c>
    </row>
    <row r="80" spans="4:11" ht="12.75" x14ac:dyDescent="0.2">
      <c r="D80" s="11">
        <v>1</v>
      </c>
      <c r="E80" s="11">
        <v>2</v>
      </c>
      <c r="F80" s="11">
        <v>1</v>
      </c>
      <c r="G80" s="11">
        <v>2</v>
      </c>
      <c r="H80" s="11">
        <v>1</v>
      </c>
      <c r="I80" s="11">
        <v>3</v>
      </c>
      <c r="J80" s="11">
        <v>3</v>
      </c>
      <c r="K80" s="11">
        <v>2</v>
      </c>
    </row>
    <row r="81" spans="4:11" ht="12.75" x14ac:dyDescent="0.2">
      <c r="D81" s="11">
        <v>1</v>
      </c>
      <c r="E81" s="11">
        <v>2</v>
      </c>
      <c r="F81" s="11">
        <v>1</v>
      </c>
      <c r="G81" s="11">
        <v>2</v>
      </c>
      <c r="H81" s="11">
        <v>1</v>
      </c>
      <c r="I81" s="11">
        <v>3</v>
      </c>
      <c r="J81" s="11">
        <v>3</v>
      </c>
      <c r="K81" s="11">
        <v>2</v>
      </c>
    </row>
    <row r="82" spans="4:11" ht="12.75" x14ac:dyDescent="0.2">
      <c r="D82" s="11">
        <v>1</v>
      </c>
      <c r="E82" s="11">
        <v>2</v>
      </c>
      <c r="F82" s="11">
        <v>1</v>
      </c>
      <c r="G82" s="11">
        <v>2</v>
      </c>
      <c r="H82" s="11">
        <v>1</v>
      </c>
      <c r="I82" s="11">
        <v>3</v>
      </c>
      <c r="J82" s="11">
        <v>3</v>
      </c>
      <c r="K82" s="11">
        <v>2</v>
      </c>
    </row>
    <row r="83" spans="4:11" ht="12.75" x14ac:dyDescent="0.2">
      <c r="D83" s="11">
        <v>1</v>
      </c>
      <c r="E83" s="11">
        <v>2</v>
      </c>
      <c r="F83" s="11">
        <v>1</v>
      </c>
      <c r="G83" s="11">
        <v>2</v>
      </c>
      <c r="H83" s="11">
        <v>1</v>
      </c>
      <c r="I83" s="11">
        <v>3</v>
      </c>
      <c r="J83" s="11">
        <v>3</v>
      </c>
      <c r="K83" s="11">
        <v>2</v>
      </c>
    </row>
    <row r="84" spans="4:11" ht="12.75" x14ac:dyDescent="0.2">
      <c r="D84" s="11">
        <v>1</v>
      </c>
      <c r="E84" s="11">
        <v>2</v>
      </c>
      <c r="F84" s="11">
        <v>1</v>
      </c>
      <c r="G84" s="11">
        <v>2</v>
      </c>
      <c r="H84" s="11">
        <v>1</v>
      </c>
      <c r="I84" s="11">
        <v>3</v>
      </c>
      <c r="J84" s="11">
        <v>3</v>
      </c>
      <c r="K84" s="11">
        <v>2</v>
      </c>
    </row>
    <row r="85" spans="4:11" ht="12.75" x14ac:dyDescent="0.2">
      <c r="D85" s="11">
        <v>1</v>
      </c>
      <c r="E85" s="11">
        <v>2</v>
      </c>
      <c r="F85" s="11">
        <v>1</v>
      </c>
      <c r="G85" s="11">
        <v>2</v>
      </c>
      <c r="H85" s="11">
        <v>1</v>
      </c>
      <c r="I85" s="11">
        <v>3</v>
      </c>
      <c r="J85" s="11">
        <v>3</v>
      </c>
      <c r="K85" s="11">
        <v>2</v>
      </c>
    </row>
    <row r="86" spans="4:11" ht="12.75" x14ac:dyDescent="0.2">
      <c r="D86" s="11">
        <v>1</v>
      </c>
      <c r="E86" s="11">
        <v>2</v>
      </c>
      <c r="F86" s="11">
        <v>1</v>
      </c>
      <c r="G86" s="11">
        <v>2</v>
      </c>
      <c r="H86" s="11">
        <v>1</v>
      </c>
      <c r="I86" s="11">
        <v>3</v>
      </c>
      <c r="J86" s="11">
        <v>3</v>
      </c>
      <c r="K86" s="11">
        <v>2</v>
      </c>
    </row>
    <row r="87" spans="4:11" ht="12.75" x14ac:dyDescent="0.2">
      <c r="D87" s="11">
        <v>1</v>
      </c>
      <c r="E87" s="11">
        <v>2</v>
      </c>
      <c r="F87" s="11">
        <v>1</v>
      </c>
      <c r="G87" s="11">
        <v>2</v>
      </c>
      <c r="H87" s="11">
        <v>1</v>
      </c>
      <c r="I87" s="11">
        <v>3</v>
      </c>
      <c r="J87" s="11">
        <v>3</v>
      </c>
      <c r="K87" s="11">
        <v>2</v>
      </c>
    </row>
    <row r="88" spans="4:11" ht="12.75" x14ac:dyDescent="0.2">
      <c r="D88" s="11">
        <v>1</v>
      </c>
      <c r="E88" s="11">
        <v>2</v>
      </c>
      <c r="F88" s="11">
        <v>1</v>
      </c>
      <c r="G88" s="11">
        <v>2</v>
      </c>
      <c r="H88" s="11">
        <v>1</v>
      </c>
      <c r="I88" s="11">
        <v>3</v>
      </c>
      <c r="J88" s="11">
        <v>3</v>
      </c>
      <c r="K88" s="11">
        <v>2</v>
      </c>
    </row>
    <row r="89" spans="4:11" ht="12.75" x14ac:dyDescent="0.2">
      <c r="D89" s="11">
        <v>1</v>
      </c>
      <c r="E89" s="11">
        <v>2</v>
      </c>
      <c r="F89" s="11">
        <v>1</v>
      </c>
      <c r="G89" s="11">
        <v>2</v>
      </c>
      <c r="H89" s="11">
        <v>1</v>
      </c>
      <c r="I89" s="11">
        <v>3</v>
      </c>
      <c r="J89" s="11">
        <v>3</v>
      </c>
      <c r="K89" s="11">
        <v>2</v>
      </c>
    </row>
    <row r="90" spans="4:11" ht="12.75" x14ac:dyDescent="0.2">
      <c r="D90" s="11">
        <v>1</v>
      </c>
      <c r="E90" s="11">
        <v>2</v>
      </c>
      <c r="F90" s="11">
        <v>1</v>
      </c>
      <c r="G90" s="11">
        <v>2</v>
      </c>
      <c r="H90" s="11">
        <v>1</v>
      </c>
      <c r="I90" s="11">
        <v>3</v>
      </c>
      <c r="J90" s="11">
        <v>3</v>
      </c>
      <c r="K90" s="11">
        <v>2</v>
      </c>
    </row>
    <row r="91" spans="4:11" ht="12.75" x14ac:dyDescent="0.2">
      <c r="D91" s="11">
        <v>1</v>
      </c>
      <c r="E91" s="11">
        <v>2</v>
      </c>
      <c r="F91" s="11">
        <v>1</v>
      </c>
      <c r="G91" s="11">
        <v>2</v>
      </c>
      <c r="H91" s="11">
        <v>1</v>
      </c>
      <c r="I91" s="11">
        <v>3</v>
      </c>
      <c r="J91" s="11">
        <v>3</v>
      </c>
      <c r="K91" s="11">
        <v>2</v>
      </c>
    </row>
    <row r="92" spans="4:11" ht="12.75" x14ac:dyDescent="0.2">
      <c r="D92" s="11">
        <v>1</v>
      </c>
      <c r="E92" s="11">
        <v>2</v>
      </c>
      <c r="F92" s="11">
        <v>1</v>
      </c>
      <c r="G92" s="11">
        <v>2</v>
      </c>
      <c r="H92" s="11">
        <v>1</v>
      </c>
      <c r="I92" s="11">
        <v>3</v>
      </c>
      <c r="J92" s="11">
        <v>3</v>
      </c>
      <c r="K92" s="11">
        <v>2</v>
      </c>
    </row>
    <row r="93" spans="4:11" ht="12.75" x14ac:dyDescent="0.2">
      <c r="D93" s="11">
        <v>1</v>
      </c>
      <c r="E93" s="11">
        <v>2</v>
      </c>
      <c r="F93" s="11">
        <v>1</v>
      </c>
      <c r="G93" s="11">
        <v>2</v>
      </c>
      <c r="H93" s="11">
        <v>1</v>
      </c>
      <c r="I93" s="11">
        <v>3</v>
      </c>
      <c r="J93" s="11">
        <v>3</v>
      </c>
      <c r="K93" s="11">
        <v>2</v>
      </c>
    </row>
    <row r="94" spans="4:11" ht="12.75" x14ac:dyDescent="0.2">
      <c r="D94" s="11">
        <v>1</v>
      </c>
      <c r="E94" s="11">
        <v>2</v>
      </c>
      <c r="F94" s="11">
        <v>1</v>
      </c>
      <c r="G94" s="11">
        <v>2</v>
      </c>
      <c r="H94" s="11">
        <v>1</v>
      </c>
      <c r="I94" s="11">
        <v>3</v>
      </c>
      <c r="J94" s="11">
        <v>3</v>
      </c>
      <c r="K94" s="11">
        <v>2</v>
      </c>
    </row>
    <row r="95" spans="4:11" ht="12.75" x14ac:dyDescent="0.2">
      <c r="D95" s="11">
        <v>1</v>
      </c>
      <c r="E95" s="11">
        <v>2</v>
      </c>
      <c r="F95" s="11">
        <v>1</v>
      </c>
      <c r="G95" s="11">
        <v>2</v>
      </c>
      <c r="H95" s="11">
        <v>1</v>
      </c>
      <c r="I95" s="11">
        <v>3</v>
      </c>
      <c r="J95" s="11">
        <v>3</v>
      </c>
      <c r="K95" s="11">
        <v>2</v>
      </c>
    </row>
    <row r="96" spans="4:11" ht="12.75" x14ac:dyDescent="0.2">
      <c r="D96" s="11">
        <v>1</v>
      </c>
      <c r="E96" s="11">
        <v>2</v>
      </c>
      <c r="F96" s="11">
        <v>1</v>
      </c>
      <c r="G96" s="11">
        <v>2</v>
      </c>
      <c r="H96" s="11">
        <v>1</v>
      </c>
      <c r="I96" s="11">
        <v>3</v>
      </c>
      <c r="J96" s="11">
        <v>3</v>
      </c>
      <c r="K96" s="11">
        <v>2</v>
      </c>
    </row>
    <row r="97" spans="4:11" ht="12.75" x14ac:dyDescent="0.2">
      <c r="D97" s="11">
        <v>1</v>
      </c>
      <c r="E97" s="11">
        <v>2</v>
      </c>
      <c r="F97" s="11">
        <v>1</v>
      </c>
      <c r="G97" s="11">
        <v>2</v>
      </c>
      <c r="H97" s="11">
        <v>1</v>
      </c>
      <c r="I97" s="11">
        <v>3</v>
      </c>
      <c r="J97" s="11">
        <v>3</v>
      </c>
      <c r="K97" s="11">
        <v>2</v>
      </c>
    </row>
    <row r="98" spans="4:11" ht="12.75" x14ac:dyDescent="0.2">
      <c r="D98" s="11">
        <v>1</v>
      </c>
      <c r="E98" s="11">
        <v>2</v>
      </c>
      <c r="F98" s="11">
        <v>1</v>
      </c>
      <c r="G98" s="11">
        <v>2</v>
      </c>
      <c r="H98" s="11">
        <v>1</v>
      </c>
      <c r="I98" s="11">
        <v>3</v>
      </c>
      <c r="J98" s="11">
        <v>3</v>
      </c>
      <c r="K98" s="11">
        <v>2</v>
      </c>
    </row>
  </sheetData>
  <dataValidations count="2">
    <dataValidation type="list" allowBlank="1" sqref="D2:D37" xr:uid="{00000000-0002-0000-0600-000000000000}">
      <formula1>"True,False"</formula1>
    </dataValidation>
    <dataValidation type="custom" allowBlank="1" showDropDown="1" sqref="B2:C37 E2:K37" xr:uid="{00000000-0002-0000-06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Resumão</vt:lpstr>
      <vt:lpstr>Flow Studio Nano banana Pro</vt:lpstr>
      <vt:lpstr>Gemini Nano Banana Pro</vt:lpstr>
      <vt:lpstr>KlingAI</vt:lpstr>
      <vt:lpstr>Juggernaut XL</vt:lpstr>
      <vt:lpstr>CHEYENNE</vt:lpstr>
      <vt:lpstr>NetaYume Lumina - ComfyUI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ribeiro figueiredo</cp:lastModifiedBy>
  <dcterms:modified xsi:type="dcterms:W3CDTF">2026-07-21T14:44:29Z</dcterms:modified>
</cp:coreProperties>
</file>