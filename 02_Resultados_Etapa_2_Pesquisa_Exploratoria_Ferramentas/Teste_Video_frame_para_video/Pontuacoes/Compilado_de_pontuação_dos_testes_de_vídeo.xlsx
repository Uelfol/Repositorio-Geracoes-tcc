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ão" sheetId="1" r:id="rId5"/>
    <sheet state="visible" name="Flow Studio Veo3.1 Fast" sheetId="2" r:id="rId6"/>
    <sheet state="visible" name="Gemini Veo 3.1" sheetId="3" r:id="rId7"/>
    <sheet state="visible" name="Wan2.2 5B" sheetId="4" r:id="rId8"/>
    <sheet state="visible" name="OpenArt" sheetId="5" r:id="rId9"/>
    <sheet state="visible" name="KlingAi" sheetId="6" r:id="rId10"/>
    <sheet state="visible" name="Runway" sheetId="7" r:id="rId11"/>
    <sheet state="visible" name="Hailuoai" sheetId="8" r:id="rId12"/>
  </sheets>
  <definedNames/>
  <calcPr/>
</workbook>
</file>

<file path=xl/sharedStrings.xml><?xml version="1.0" encoding="utf-8"?>
<sst xmlns="http://schemas.openxmlformats.org/spreadsheetml/2006/main" count="200" uniqueCount="80">
  <si>
    <t>Pontuação Média da IA</t>
  </si>
  <si>
    <t>Nota Final (%)</t>
  </si>
  <si>
    <t>Pontos Totais (max 106)</t>
  </si>
  <si>
    <t>Tem Som?</t>
  </si>
  <si>
    <t>Qualidade Áudio</t>
  </si>
  <si>
    <t>Resolução</t>
  </si>
  <si>
    <t>Qualidade Visual</t>
  </si>
  <si>
    <t>Permanência Objetos</t>
  </si>
  <si>
    <t>Enquadramento</t>
  </si>
  <si>
    <t>Estabilidade Temporal</t>
  </si>
  <si>
    <t>Alinhamento Prompt</t>
  </si>
  <si>
    <t>Utilidade</t>
  </si>
  <si>
    <t>Loop</t>
  </si>
  <si>
    <t>Tamanho Prompt</t>
  </si>
  <si>
    <t>KlingAi</t>
  </si>
  <si>
    <t>Sim</t>
  </si>
  <si>
    <t>Flow Stuido Veo 3.1 Fast</t>
  </si>
  <si>
    <t>OpenArt</t>
  </si>
  <si>
    <t>Gemini Veo 3.1</t>
  </si>
  <si>
    <t>Hailuoai</t>
  </si>
  <si>
    <t>Não</t>
  </si>
  <si>
    <t>Wan 2.2 5B</t>
  </si>
  <si>
    <t>Runway</t>
  </si>
  <si>
    <t>Nome do Teste</t>
  </si>
  <si>
    <t>Teste 1 - FlowStudio Veo3.1 fast - Sketch to Video - 24/11/2025</t>
  </si>
  <si>
    <t>Teste 2 - FlowStudio Veo3.1 fast - Frame to Video - 26/11/2025</t>
  </si>
  <si>
    <t>Teste 3 - FlowStudio Veo3.1 fast - Frame to Video - 27/11/2025</t>
  </si>
  <si>
    <t>Teste 4 - FlowStudio Veo3.1 fast - Frame to Video - 26/11/2025</t>
  </si>
  <si>
    <t>Teste 2 - Refeito com imagem sem bordas - FlowStudio Veo3.1 fast - Frame to Video - 04/12/2025</t>
  </si>
  <si>
    <t>Teste 3 - Refeito com imagem sem bordas - FlowStudio Veo3.1 fast - Frame to Video - 04/12/2025</t>
  </si>
  <si>
    <t>Teste 4 - Refeito com imagem sem bordas - FlowStudio Veo3.1 fast - Frame to Video - 04/12/2025</t>
  </si>
  <si>
    <t>Teste 5 - Frame inicial e final - FlowStudio Veo3.1 fast - Frame to Video - 04/12/2025</t>
  </si>
  <si>
    <t>Médias</t>
  </si>
  <si>
    <t>Max de pontos</t>
  </si>
  <si>
    <t>Pesos</t>
  </si>
  <si>
    <t>Teste 1 - Gemini Veo 3.1 - Sketch to Video - 24/11/2025</t>
  </si>
  <si>
    <t>Teste 2 - Gemini Veo 3.1 - Frame to Video - 26/11/2025</t>
  </si>
  <si>
    <t>Teste 3 - Gemini Veo 3.1 - Frame to Video - 27/11/2025</t>
  </si>
  <si>
    <t>Teste 4 - Gemini Veo 3.1 - Frame to Video - 26/11/2025</t>
  </si>
  <si>
    <t>Teste 2 - Refeito com imagem sem bordas - Gemini Veo 3.1 - Frame to Video - 04/12/2025</t>
  </si>
  <si>
    <t>Teste 3 - Refeito com imagem sem bordas - Gemini Veo 3.1 - Frame to Video - 04/12/2025</t>
  </si>
  <si>
    <t>Teste 4 - Refeito com imagem sem bordas - Gemini Veo 3.1 - Frame to Video - 04/12/2025</t>
  </si>
  <si>
    <t>Teste 5 -  Frame inicial e final  - Gemini Veo 3.1 - Frame to Video - 04/12/2025</t>
  </si>
  <si>
    <t>Teste 1 - Wan 2.2 5B - Sketch to Video - 24/11/2025</t>
  </si>
  <si>
    <t>Teste 2 - Wan 2.2 5B - Frame to Video - 26/11/2025</t>
  </si>
  <si>
    <t>Teste 3 - Wan 2.2 5B - Frame to Video - 27/11/2025</t>
  </si>
  <si>
    <t>Teste 4 - Wan 2.2 5B - Frame to Video - 26/11/2025</t>
  </si>
  <si>
    <t>Teste 2 - Refeito com imagem sem bordas - Wan 2.2 5B - Frame to Video - 04/12/2025</t>
  </si>
  <si>
    <t>Teste 3 - Refeito com imagem sem bordas - Wan 2.2 5B - Frame to Video - 04/12/2025</t>
  </si>
  <si>
    <t>Teste 4 - Refeito com imagem sem bordas - Wan 2.2 5B - Frame to Video - 04/12/2025</t>
  </si>
  <si>
    <t>Teste 1 - OpenArt - Sketch to Video - 24/11/2025</t>
  </si>
  <si>
    <t>Teste 2 - OpenArt - Frame to Video - 26/11/2025</t>
  </si>
  <si>
    <t>Teste 3 - OpenArt - Frame to Video - 27/11/2025</t>
  </si>
  <si>
    <t>Teste 4 - OpenArt - Frame to Video - 26/11/2025</t>
  </si>
  <si>
    <t>Teste 2 - Refeito com imagem sem bordas - OpenArt - Frame to Video - 04/12/2025</t>
  </si>
  <si>
    <t>Teste 3 - Refeito com imagem sem bordas - OpenArt - Frame to Video - 04/12/2025</t>
  </si>
  <si>
    <t>Teste 4 - Refeito com imagem sem bordas - OpenArt - Frame to Video - 04/12/2025</t>
  </si>
  <si>
    <t>Teste 2 - klingai - Frame to Video - 26/11/2025</t>
  </si>
  <si>
    <t>Teste 1 - klingai - Sketch to Video - 24/11/2025</t>
  </si>
  <si>
    <t>Teste 3 - klingai - Frame to Video - 27/11/2025</t>
  </si>
  <si>
    <t>Teste 4 - klingai - Frame to Video - 26/11/2025</t>
  </si>
  <si>
    <t>Teste 2 - Refeito com imagem sem bordas - klingai - Frame to Video - 04/12/2025</t>
  </si>
  <si>
    <t>Teste 3 - Refeito com imagem sem bordas - klingai - Frame to Video - 04/12/2025</t>
  </si>
  <si>
    <t>Teste 4 - Refeito com imagem sem bordas - klingai - Frame to Video - 04/12/2025</t>
  </si>
  <si>
    <t>Teste 5 - Frame inicial e final - klingai - Frame to Video - 04/12/2025</t>
  </si>
  <si>
    <t>Teste 1 - Runway - Sketch to Video - 24/11/2025</t>
  </si>
  <si>
    <t>Teste 2 - Runway - Frame to Video - 26/11/2025</t>
  </si>
  <si>
    <t>Teste 3 - Runway - Frame to Video - 27/11/2025</t>
  </si>
  <si>
    <t>Teste 4 - Runway - Frame to Video - 26/11/2025</t>
  </si>
  <si>
    <t>Teste 2 - Refeito com imagem sem bordas - Runway - Frame to Video - 04/12/2025</t>
  </si>
  <si>
    <t>Teste 3 - Refeito com imagem sem bordas - Runway - Frame to Video - 04/12/2025</t>
  </si>
  <si>
    <t>Teste 4 - Refeito com imagem sem bordas - Runway - Frame to Video - 04/12/2025</t>
  </si>
  <si>
    <t>Teste 1 - Hailuoai - Sketch to Video - 24/11/2025</t>
  </si>
  <si>
    <t>Teste 2 - Hailuoai - Frame to Video - 26/11/2025</t>
  </si>
  <si>
    <t>Teste 3 - Hailuoai - Frame to Video - 27/11/2025</t>
  </si>
  <si>
    <t>Teste 4 - Hailuoai - Frame to Video - 26/11/2025</t>
  </si>
  <si>
    <t>Teste 2 - Refeito com imagem sem bordas - Hailuoai - Frame to Video - 04/12/2025</t>
  </si>
  <si>
    <t>Teste 3 - Refeito com imagem sem bordas - Hailuoai - Frame to Video - 04/12/2025</t>
  </si>
  <si>
    <t>Teste 4 - Refeito com imagem sem bordas - Hailuoai - Frame to Video - 04/12/2025</t>
  </si>
  <si>
    <t>Teste 5 - Frame inicial e final - Hailuoai - Frame to Video - 04/12/2025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</si>
</sst>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</dxfs>
  <tableStyles count="8">
    <tableStyle count="4" pivot="0" name="Resumã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Flow Studio Veo3.1 Fast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Gemini Veo 3.1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Wan2.2 5B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OpenArt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KlingAi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Runway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Hailuoai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N9" displayName="Resumão" name="Resumão" id="1">
  <tableColumns count="14">
    <tableColumn name="Pontuação Média da IA" id="1"/>
    <tableColumn name="Nota Final (%)" id="2"/>
    <tableColumn name="Pontos Totais (max 106)" id="3"/>
    <tableColumn name="Tem Som?" id="4"/>
    <tableColumn name="Qualidade Áudio" id="5"/>
    <tableColumn name="Resolução" id="6"/>
    <tableColumn name="Qualidade Visual" id="7"/>
    <tableColumn name="Permanência Objetos" id="8"/>
    <tableColumn name="Enquadramento" id="9"/>
    <tableColumn name="Estabilidade Temporal" id="10"/>
    <tableColumn name="Alinhamento Prompt" id="11"/>
    <tableColumn name="Utilidade" id="12"/>
    <tableColumn name="Loop" id="13"/>
    <tableColumn name="Tamanho Prompt" id="14"/>
  </tableColumns>
  <tableStyleInfo name="Resumão-style" showColumnStripes="0" showFirstColumn="1" showLastColumn="1" showRowStripes="1"/>
</table>
</file>

<file path=xl/tables/table2.xml><?xml version="1.0" encoding="utf-8"?>
<table xmlns="http://schemas.openxmlformats.org/spreadsheetml/2006/main" totalsRowCount="1" ref="A1:N10" displayName="Tabela_1" name="Tabela_1" id="2">
  <tableColumns count="14">
    <tableColumn totalsRowLabel="Médias" name="Nome do Teste" id="1"/>
    <tableColumn totalsRowFunction="custom" name="Nota Final (%)" id="2"/>
    <tableColumn totalsRowFunction="custom" name="Pontos Totais (max 106)" id="3"/>
    <tableColumn name="Tem Som?" id="4"/>
    <tableColumn totalsRowFunction="custom" name="Qualidade Áudio" id="5"/>
    <tableColumn totalsRowFunction="custom" name="Resolução" id="6"/>
    <tableColumn totalsRowFunction="custom" name="Qualidade Visual" id="7"/>
    <tableColumn totalsRowFunction="custom" name="Permanência Objetos" id="8"/>
    <tableColumn totalsRowFunction="custom" name="Enquadramento" id="9"/>
    <tableColumn totalsRowFunction="custom" name="Estabilidade Temporal" id="10"/>
    <tableColumn totalsRowFunction="custom" name="Alinhamento Prompt" id="11"/>
    <tableColumn totalsRowFunction="custom" name="Utilidade" id="12"/>
    <tableColumn totalsRowFunction="custom" name="Loop" id="13"/>
    <tableColumn totalsRowFunction="custom" name="Tamanho Prompt" id="14"/>
  </tableColumns>
  <tableStyleInfo name="Flow Studio Veo3.1 Fast-style" showColumnStripes="0" showFirstColumn="1" showLastColumn="1" showRowStripes="1"/>
</table>
</file>

<file path=xl/tables/table3.xml><?xml version="1.0" encoding="utf-8"?>
<table xmlns="http://schemas.openxmlformats.org/spreadsheetml/2006/main" totalsRowCount="1" ref="A1:N10" displayName="Tabela" name="Tabela" id="3">
  <tableColumns count="14">
    <tableColumn totalsRowLabel="Médias" name="Nome do Teste" id="1"/>
    <tableColumn totalsRowFunction="custom" name="Nota Final (%)" id="2"/>
    <tableColumn totalsRowFunction="custom" name="Pontos Totais (max 106)" id="3"/>
    <tableColumn name="Tem Som?" id="4"/>
    <tableColumn totalsRowFunction="custom" name="Qualidade Áudio" id="5"/>
    <tableColumn totalsRowFunction="custom" name="Resolução" id="6"/>
    <tableColumn totalsRowFunction="custom" name="Qualidade Visual" id="7"/>
    <tableColumn totalsRowFunction="custom" name="Permanência Objetos" id="8"/>
    <tableColumn totalsRowFunction="custom" name="Enquadramento" id="9"/>
    <tableColumn totalsRowFunction="custom" name="Estabilidade Temporal" id="10"/>
    <tableColumn totalsRowFunction="custom" name="Alinhamento Prompt" id="11"/>
    <tableColumn totalsRowFunction="custom" name="Utilidade" id="12"/>
    <tableColumn totalsRowFunction="custom" name="Loop" id="13"/>
    <tableColumn totalsRowFunction="custom" name="Tamanho Prompt" id="14"/>
  </tableColumns>
  <tableStyleInfo name="Gemini Veo 3.1-style" showColumnStripes="0" showFirstColumn="1" showLastColumn="1" showRowStripes="1"/>
</table>
</file>

<file path=xl/tables/table4.xml><?xml version="1.0" encoding="utf-8"?>
<table xmlns="http://schemas.openxmlformats.org/spreadsheetml/2006/main" totalsRowCount="1" ref="A1:N9" displayName="Tabela_2" name="Tabela_2" id="4">
  <tableColumns count="14">
    <tableColumn totalsRowLabel="Médias" name="Nome do Teste" id="1"/>
    <tableColumn totalsRowFunction="custom" name="Nota Final (%)" id="2"/>
    <tableColumn totalsRowFunction="custom" name="Pontos Totais (max 106)" id="3"/>
    <tableColumn name="Tem Som?" id="4"/>
    <tableColumn totalsRowFunction="custom" name="Qualidade Áudio" id="5"/>
    <tableColumn totalsRowFunction="custom" name="Resolução" id="6"/>
    <tableColumn totalsRowFunction="custom" name="Qualidade Visual" id="7"/>
    <tableColumn totalsRowFunction="custom" name="Permanência Objetos" id="8"/>
    <tableColumn totalsRowFunction="custom" name="Enquadramento" id="9"/>
    <tableColumn totalsRowFunction="custom" name="Estabilidade Temporal" id="10"/>
    <tableColumn totalsRowFunction="custom" name="Alinhamento Prompt" id="11"/>
    <tableColumn totalsRowFunction="custom" name="Utilidade" id="12"/>
    <tableColumn totalsRowFunction="custom" name="Loop" id="13"/>
    <tableColumn totalsRowFunction="custom" name="Tamanho Prompt" id="14"/>
  </tableColumns>
  <tableStyleInfo name="Wan2.2 5B-style" showColumnStripes="0" showFirstColumn="1" showLastColumn="1" showRowStripes="1"/>
</table>
</file>

<file path=xl/tables/table5.xml><?xml version="1.0" encoding="utf-8"?>
<table xmlns="http://schemas.openxmlformats.org/spreadsheetml/2006/main" totalsRowCount="1" ref="A1:N9" displayName="Tabela_3" name="Tabela_3" id="5">
  <tableColumns count="14">
    <tableColumn totalsRowLabel="Médias" name="Nome do Teste" id="1"/>
    <tableColumn totalsRowFunction="custom" name="Nota Final (%)" id="2"/>
    <tableColumn totalsRowFunction="custom" name="Pontos Totais (max 106)" id="3"/>
    <tableColumn name="Tem Som?" id="4"/>
    <tableColumn totalsRowFunction="custom" name="Qualidade Áudio" id="5"/>
    <tableColumn totalsRowFunction="custom" name="Resolução" id="6"/>
    <tableColumn totalsRowFunction="custom" name="Qualidade Visual" id="7"/>
    <tableColumn totalsRowFunction="custom" name="Permanência Objetos" id="8"/>
    <tableColumn totalsRowFunction="custom" name="Enquadramento" id="9"/>
    <tableColumn totalsRowFunction="custom" name="Estabilidade Temporal" id="10"/>
    <tableColumn totalsRowFunction="custom" name="Alinhamento Prompt" id="11"/>
    <tableColumn totalsRowFunction="custom" name="Utilidade" id="12"/>
    <tableColumn totalsRowFunction="custom" name="Loop" id="13"/>
    <tableColumn totalsRowFunction="custom" name="Tamanho Prompt" id="14"/>
  </tableColumns>
  <tableStyleInfo name="OpenArt-style" showColumnStripes="0" showFirstColumn="1" showLastColumn="1" showRowStripes="1"/>
</table>
</file>

<file path=xl/tables/table6.xml><?xml version="1.0" encoding="utf-8"?>
<table xmlns="http://schemas.openxmlformats.org/spreadsheetml/2006/main" totalsRowCount="1" ref="A1:N10" displayName="Tabela_4" name="Tabela_4" id="6">
  <tableColumns count="14">
    <tableColumn totalsRowLabel="Médias" name="Nome do Teste" id="1"/>
    <tableColumn totalsRowFunction="custom" name="Nota Final (%)" id="2"/>
    <tableColumn totalsRowFunction="custom" name="Pontos Totais (max 106)" id="3"/>
    <tableColumn name="Tem Som?" id="4"/>
    <tableColumn totalsRowFunction="custom" name="Qualidade Áudio" id="5"/>
    <tableColumn totalsRowFunction="custom" name="Resolução" id="6"/>
    <tableColumn totalsRowFunction="custom" name="Qualidade Visual" id="7"/>
    <tableColumn totalsRowFunction="custom" name="Permanência Objetos" id="8"/>
    <tableColumn totalsRowFunction="custom" name="Enquadramento" id="9"/>
    <tableColumn totalsRowFunction="custom" name="Estabilidade Temporal" id="10"/>
    <tableColumn totalsRowFunction="custom" name="Alinhamento Prompt" id="11"/>
    <tableColumn totalsRowFunction="custom" name="Utilidade" id="12"/>
    <tableColumn totalsRowFunction="custom" name="Loop" id="13"/>
    <tableColumn totalsRowFunction="custom" name="Tamanho Prompt" id="14"/>
  </tableColumns>
  <tableStyleInfo name="KlingAi-style" showColumnStripes="0" showFirstColumn="1" showLastColumn="1" showRowStripes="1"/>
</table>
</file>

<file path=xl/tables/table7.xml><?xml version="1.0" encoding="utf-8"?>
<table xmlns="http://schemas.openxmlformats.org/spreadsheetml/2006/main" totalsRowCount="1" ref="A1:N9" displayName="Tabela_5" name="Tabela_5" id="7">
  <tableColumns count="14">
    <tableColumn totalsRowLabel="Médias" name="Nome do Teste" id="1"/>
    <tableColumn totalsRowFunction="custom" name="Nota Final (%)" id="2"/>
    <tableColumn totalsRowFunction="custom" name="Pontos Totais (max 106)" id="3"/>
    <tableColumn name="Tem Som?" id="4"/>
    <tableColumn totalsRowFunction="custom" name="Qualidade Áudio" id="5"/>
    <tableColumn totalsRowFunction="custom" name="Resolução" id="6"/>
    <tableColumn totalsRowFunction="custom" name="Qualidade Visual" id="7"/>
    <tableColumn totalsRowFunction="custom" name="Permanência Objetos" id="8"/>
    <tableColumn totalsRowFunction="custom" name="Enquadramento" id="9"/>
    <tableColumn totalsRowFunction="custom" name="Estabilidade Temporal" id="10"/>
    <tableColumn totalsRowFunction="custom" name="Alinhamento Prompt" id="11"/>
    <tableColumn totalsRowFunction="custom" name="Utilidade" id="12"/>
    <tableColumn totalsRowFunction="custom" name="Loop" id="13"/>
    <tableColumn totalsRowFunction="custom" name="Tamanho Prompt" id="14"/>
  </tableColumns>
  <tableStyleInfo name="Runway-style" showColumnStripes="0" showFirstColumn="1" showLastColumn="1" showRowStripes="1"/>
</table>
</file>

<file path=xl/tables/table8.xml><?xml version="1.0" encoding="utf-8"?>
<table xmlns="http://schemas.openxmlformats.org/spreadsheetml/2006/main" totalsRowCount="1" ref="A1:N10" displayName="Tabela_6" name="Tabela_6" id="8">
  <tableColumns count="14">
    <tableColumn totalsRowLabel="Médias" name="Nome do Teste" id="1"/>
    <tableColumn totalsRowFunction="custom" name="Nota Final (%)" id="2"/>
    <tableColumn totalsRowFunction="custom" name="Pontos Totais (max 106)" id="3"/>
    <tableColumn name="Tem Som?" id="4"/>
    <tableColumn totalsRowFunction="custom" name="Qualidade Áudio" id="5"/>
    <tableColumn totalsRowFunction="custom" name="Resolução" id="6"/>
    <tableColumn totalsRowFunction="custom" name="Qualidade Visual" id="7"/>
    <tableColumn totalsRowFunction="custom" name="Permanência Objetos" id="8"/>
    <tableColumn totalsRowFunction="custom" name="Enquadramento" id="9"/>
    <tableColumn totalsRowFunction="custom" name="Estabilidade Temporal" id="10"/>
    <tableColumn totalsRowFunction="custom" name="Alinhamento Prompt" id="11"/>
    <tableColumn totalsRowFunction="custom" name="Utilidade" id="12"/>
    <tableColumn totalsRowFunction="custom" name="Loop" id="13"/>
    <tableColumn totalsRowFunction="custom" name="Tamanho Prompt" id="14"/>
  </tableColumns>
  <tableStyleInfo name="Hailuoa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0.13"/>
    <col customWidth="1" min="3" max="3" width="28.0"/>
    <col customWidth="1" min="4" max="4" width="17.13"/>
    <col customWidth="1" min="5" max="5" width="22.25"/>
    <col customWidth="1" min="6" max="6" width="17.0"/>
    <col customWidth="1" min="7" max="7" width="22.38"/>
    <col customWidth="1" min="8" max="8" width="26.13"/>
    <col customWidth="1" min="9" max="9" width="21.88"/>
    <col customWidth="1" min="10" max="10" width="26.63"/>
    <col customWidth="1" min="11" max="11" width="25.75"/>
    <col customWidth="1" min="12" max="12" width="16.13"/>
    <col customWidth="1" min="13" max="13" width="9.5"/>
    <col customWidth="1" min="14" max="14" width="22.75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ht="22.5" customHeight="1">
      <c r="A3" s="3" t="s">
        <v>14</v>
      </c>
      <c r="B3" s="4">
        <f>MEDIAN(Tabela_4[Nota Final (%)])</f>
        <v>77.35849057</v>
      </c>
      <c r="C3" s="5">
        <f>MEDIAN(Tabela_4[Pontos Totais (max 106)])</f>
        <v>82</v>
      </c>
      <c r="D3" s="6" t="s">
        <v>15</v>
      </c>
      <c r="E3" s="4">
        <f>AVERAGE(Tabela_4[Qualidade Áudio])</f>
        <v>3</v>
      </c>
      <c r="F3" s="4">
        <f>AVERAGE(Tabela_4[Resolução])</f>
        <v>3.125</v>
      </c>
      <c r="G3" s="4">
        <f>AVERAGE(Tabela_4[Qualidade Visual])</f>
        <v>3.875</v>
      </c>
      <c r="H3" s="4">
        <f>AVERAGE(Tabela_4[Permanência Objetos])</f>
        <v>3.625</v>
      </c>
      <c r="I3" s="4">
        <f>AVERAGE(Tabela_4[Enquadramento])</f>
        <v>4.625</v>
      </c>
      <c r="J3" s="4">
        <f>AVERAGE(Tabela_4[Estabilidade Temporal])</f>
        <v>3.875</v>
      </c>
      <c r="K3" s="4">
        <f>AVERAGE(Tabela_4[Alinhamento Prompt])</f>
        <v>4</v>
      </c>
      <c r="L3" s="4">
        <f>AVERAGE(Tabela_4[Utilidade])</f>
        <v>5</v>
      </c>
      <c r="M3" s="4">
        <f>AVERAGE(Tabela_4[Loop])</f>
        <v>3</v>
      </c>
      <c r="N3" s="4">
        <f>AVERAGE(Tabela_4[Tamanho Prompt])</f>
        <v>3</v>
      </c>
    </row>
    <row r="4" ht="22.5" customHeight="1">
      <c r="A4" s="3" t="s">
        <v>16</v>
      </c>
      <c r="B4" s="4">
        <f>MEDIAN(Tabela_1[Nota Final (%)])</f>
        <v>76.88679245</v>
      </c>
      <c r="C4" s="5">
        <f>MEDIAN(Tabela_1[Pontos Totais (max 106)])</f>
        <v>81.5</v>
      </c>
      <c r="D4" s="6" t="s">
        <v>15</v>
      </c>
      <c r="E4" s="4">
        <f>AVERAGE(Tabela_1[Qualidade Áudio])</f>
        <v>3.125</v>
      </c>
      <c r="F4" s="4">
        <f>AVERAGE(Tabela_1[Resolução])</f>
        <v>3</v>
      </c>
      <c r="G4" s="4">
        <f>AVERAGE(Tabela_1[Qualidade Visual])</f>
        <v>3.75</v>
      </c>
      <c r="H4" s="4">
        <f>AVERAGE(Tabela_1[Permanência Objetos])</f>
        <v>3.25</v>
      </c>
      <c r="I4" s="4">
        <f>AVERAGE(Tabela_1[Enquadramento])</f>
        <v>4.5</v>
      </c>
      <c r="J4" s="4">
        <f>AVERAGE(Tabela_1[Estabilidade Temporal])</f>
        <v>4.125</v>
      </c>
      <c r="K4" s="4">
        <f>AVERAGE(Tabela_1[Alinhamento Prompt])</f>
        <v>3.75</v>
      </c>
      <c r="L4" s="4">
        <f>AVERAGE(Tabela_1[Utilidade])</f>
        <v>4</v>
      </c>
      <c r="M4" s="4">
        <f>AVERAGE(Tabela_1[Loop])</f>
        <v>2.875</v>
      </c>
      <c r="N4" s="4">
        <f>AVERAGE(Tabela_1[Tamanho Prompt])</f>
        <v>5</v>
      </c>
    </row>
    <row r="5" ht="22.5" customHeight="1">
      <c r="A5" s="3" t="s">
        <v>17</v>
      </c>
      <c r="B5" s="4">
        <f>MEDIAN(Tabela_3[Nota Final (%)])</f>
        <v>68.86792453</v>
      </c>
      <c r="C5" s="5">
        <f>MEDIAN(Tabela_3[Pontos Totais (max 106)])</f>
        <v>73</v>
      </c>
      <c r="D5" s="6" t="s">
        <v>15</v>
      </c>
      <c r="E5" s="4">
        <f>AVERAGE(Tabela_3[Qualidade Áudio])</f>
        <v>1.428571429</v>
      </c>
      <c r="F5" s="4">
        <f>AVERAGE(Tabela_3[Resolução])</f>
        <v>1.571428571</v>
      </c>
      <c r="G5" s="4">
        <f>AVERAGE(Tabela_3[Qualidade Visual])</f>
        <v>2.428571429</v>
      </c>
      <c r="H5" s="4">
        <f>AVERAGE(Tabela_3[Permanência Objetos])</f>
        <v>3.857142857</v>
      </c>
      <c r="I5" s="4">
        <f>AVERAGE(Tabela_3[Enquadramento])</f>
        <v>4</v>
      </c>
      <c r="J5" s="4">
        <f>AVERAGE(Tabela_3[Estabilidade Temporal])</f>
        <v>3.857142857</v>
      </c>
      <c r="K5" s="4">
        <f>AVERAGE(Tabela_3[Alinhamento Prompt])</f>
        <v>3.857142857</v>
      </c>
      <c r="L5" s="4">
        <f>AVERAGE(Tabela_3[Utilidade])</f>
        <v>3</v>
      </c>
      <c r="M5" s="4">
        <f>AVERAGE(Tabela_3[Loop])</f>
        <v>3</v>
      </c>
      <c r="N5" s="4">
        <f>AVERAGE(Tabela_3[Tamanho Prompt])</f>
        <v>5</v>
      </c>
    </row>
    <row r="6" ht="22.5" customHeight="1">
      <c r="A6" s="3" t="s">
        <v>18</v>
      </c>
      <c r="B6" s="4">
        <f>MEDIAN(Tabela[Nota Final (%)])</f>
        <v>66.98113208</v>
      </c>
      <c r="C6" s="5">
        <f>MEDIAN(Tabela[Pontos Totais (max 106)])</f>
        <v>71</v>
      </c>
      <c r="D6" s="6" t="s">
        <v>15</v>
      </c>
      <c r="E6" s="4">
        <f>AVERAGE(Tabela[Qualidade Áudio])</f>
        <v>3.25</v>
      </c>
      <c r="F6" s="4">
        <f>AVERAGE(Tabela[Resolução])</f>
        <v>3</v>
      </c>
      <c r="G6" s="4">
        <f>AVERAGE(Tabela[Qualidade Visual])</f>
        <v>3.125</v>
      </c>
      <c r="H6" s="4">
        <f>AVERAGE(Tabela[Permanência Objetos])</f>
        <v>2.5</v>
      </c>
      <c r="I6" s="4">
        <f>AVERAGE(Tabela[Enquadramento])</f>
        <v>3.75</v>
      </c>
      <c r="J6" s="4">
        <f>AVERAGE(Tabela[Estabilidade Temporal])</f>
        <v>3.5</v>
      </c>
      <c r="K6" s="4">
        <f>AVERAGE(Tabela[Alinhamento Prompt])</f>
        <v>3</v>
      </c>
      <c r="L6" s="4">
        <f>AVERAGE(Tabela[Utilidade])</f>
        <v>4</v>
      </c>
      <c r="M6" s="4">
        <f>AVERAGE(Tabela[Loop])</f>
        <v>3</v>
      </c>
      <c r="N6" s="4">
        <f>AVERAGE(Tabela[Tamanho Prompt])</f>
        <v>5</v>
      </c>
    </row>
    <row r="7" ht="22.5" customHeight="1">
      <c r="A7" s="3" t="s">
        <v>19</v>
      </c>
      <c r="B7" s="4">
        <f>MEDIAN(Tabela_6[Nota Final (%)])</f>
        <v>66.03773585</v>
      </c>
      <c r="C7" s="5">
        <f>MEDIAN(Tabela_6[Pontos Totais (max 106)])</f>
        <v>70</v>
      </c>
      <c r="D7" s="6" t="s">
        <v>20</v>
      </c>
      <c r="E7" s="4">
        <f>AVERAGE(Tabela_6[Qualidade Áudio])</f>
        <v>0</v>
      </c>
      <c r="F7" s="4">
        <f>AVERAGE(Tabela_6[Resolução])</f>
        <v>2.625</v>
      </c>
      <c r="G7" s="4">
        <f>AVERAGE(Tabela_6[Qualidade Visual])</f>
        <v>3.375</v>
      </c>
      <c r="H7" s="4">
        <f>AVERAGE(Tabela_6[Permanência Objetos])</f>
        <v>3</v>
      </c>
      <c r="I7" s="4">
        <f>AVERAGE(Tabela_6[Enquadramento])</f>
        <v>3.875</v>
      </c>
      <c r="J7" s="4">
        <f>AVERAGE(Tabela_6[Estabilidade Temporal])</f>
        <v>3.125</v>
      </c>
      <c r="K7" s="4">
        <f>AVERAGE(Tabela_6[Alinhamento Prompt])</f>
        <v>4.125</v>
      </c>
      <c r="L7" s="4">
        <f>AVERAGE(Tabela_6[Utilidade])</f>
        <v>5</v>
      </c>
      <c r="M7" s="4">
        <f>AVERAGE(Tabela_6[Loop])</f>
        <v>3</v>
      </c>
      <c r="N7" s="4">
        <f>AVERAGE(Tabela_6[Tamanho Prompt])</f>
        <v>4</v>
      </c>
    </row>
    <row r="8" ht="22.5" customHeight="1">
      <c r="A8" s="3" t="s">
        <v>21</v>
      </c>
      <c r="B8" s="4">
        <f>MEDIAN(Tabela_2[Nota Final (%)])</f>
        <v>50</v>
      </c>
      <c r="C8" s="5">
        <f>MEDIAN(Tabela_2[Pontos Totais (max 106)])</f>
        <v>53</v>
      </c>
      <c r="D8" s="6" t="s">
        <v>20</v>
      </c>
      <c r="E8" s="4">
        <f>AVERAGE(Tabela_2[Qualidade Áudio])</f>
        <v>0</v>
      </c>
      <c r="F8" s="4">
        <f>AVERAGE(Tabela_2[Resolução])</f>
        <v>3</v>
      </c>
      <c r="G8" s="4">
        <f>AVERAGE(Tabela_2[Qualidade Visual])</f>
        <v>2.428571429</v>
      </c>
      <c r="H8" s="4">
        <f>AVERAGE(Tabela_2[Permanência Objetos])</f>
        <v>1.285714286</v>
      </c>
      <c r="I8" s="4">
        <f>AVERAGE(Tabela_2[Enquadramento])</f>
        <v>3.142857143</v>
      </c>
      <c r="J8" s="4">
        <f>AVERAGE(Tabela_2[Estabilidade Temporal])</f>
        <v>2</v>
      </c>
      <c r="K8" s="4">
        <f>AVERAGE(Tabela_2[Alinhamento Prompt])</f>
        <v>2</v>
      </c>
      <c r="L8" s="4">
        <f>AVERAGE(Tabela_2[Utilidade])</f>
        <v>5</v>
      </c>
      <c r="M8" s="4">
        <f>AVERAGE(Tabela_2[Loop])</f>
        <v>3</v>
      </c>
      <c r="N8" s="4">
        <f>AVERAGE(Tabela_2[Tamanho Prompt])</f>
        <v>5</v>
      </c>
    </row>
    <row r="9" ht="22.5" customHeight="1">
      <c r="A9" s="3" t="s">
        <v>22</v>
      </c>
      <c r="B9" s="4">
        <f>MEDIAN(Tabela_5[Nota Final (%)])</f>
        <v>47.16981132</v>
      </c>
      <c r="C9" s="5">
        <f>MEDIAN(Tabela_5[Pontos Totais (max 106)])</f>
        <v>50</v>
      </c>
      <c r="D9" s="6" t="s">
        <v>20</v>
      </c>
      <c r="E9" s="4">
        <f>AVERAGE(Tabela_5[Qualidade Áudio])</f>
        <v>0</v>
      </c>
      <c r="F9" s="4">
        <f>AVERAGE(Tabela_5[Resolução])</f>
        <v>2.714285714</v>
      </c>
      <c r="G9" s="4">
        <f>AVERAGE(Tabela_5[Qualidade Visual])</f>
        <v>2.142857143</v>
      </c>
      <c r="H9" s="4">
        <f>AVERAGE(Tabela_5[Permanência Objetos])</f>
        <v>1.857142857</v>
      </c>
      <c r="I9" s="4">
        <f>AVERAGE(Tabela_5[Enquadramento])</f>
        <v>4</v>
      </c>
      <c r="J9" s="4">
        <f>AVERAGE(Tabela_5[Estabilidade Temporal])</f>
        <v>3</v>
      </c>
      <c r="K9" s="4">
        <f>AVERAGE(Tabela_5[Alinhamento Prompt])</f>
        <v>2.714285714</v>
      </c>
      <c r="L9" s="4">
        <f>AVERAGE(Tabela_5[Utilidade])</f>
        <v>3</v>
      </c>
      <c r="M9" s="4">
        <f>AVERAGE(Tabela_5[Loop])</f>
        <v>3</v>
      </c>
      <c r="N9" s="4">
        <f>AVERAGE(Tabela_5[Tamanho Prompt])</f>
        <v>3</v>
      </c>
    </row>
  </sheetData>
  <dataValidations>
    <dataValidation type="list" allowBlank="1" sqref="D3:D9">
      <formula1>"True,False"</formula1>
    </dataValidation>
    <dataValidation type="custom" allowBlank="1" showDropDown="1" sqref="B3:C9 E3:L9 N3:N9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6.88"/>
    <col customWidth="1" min="3" max="3" width="25.5"/>
    <col customWidth="1" min="4" max="4" width="17.13"/>
    <col customWidth="1" min="5" max="5" width="22.25"/>
    <col customWidth="1" min="6" max="6" width="17.0"/>
    <col customWidth="1" min="7" max="7" width="22.38"/>
    <col customWidth="1" min="8" max="8" width="26.13"/>
    <col customWidth="1" min="9" max="9" width="21.88"/>
    <col customWidth="1" min="10" max="10" width="26.63"/>
    <col customWidth="1" min="11" max="11" width="25.75"/>
    <col customWidth="1" min="12" max="12" width="16.13"/>
    <col customWidth="1" min="13" max="13" width="13.88"/>
    <col customWidth="1" min="14" max="14" width="22.75"/>
    <col customWidth="1" min="15" max="26" width="13.88"/>
  </cols>
  <sheetData>
    <row r="1" ht="22.5" customHeight="1">
      <c r="A1" s="1" t="s">
        <v>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7" t="s">
        <v>24</v>
      </c>
      <c r="B2" s="8">
        <f>C2/B21 * 100</f>
        <v>70.75471698</v>
      </c>
      <c r="C2" s="9">
        <f>IF(D2, 1, 0) + (E2 * E21) + (F2 * F21) + (G2 * G21) + (H2 * H21) + (I2 * I21) + (J2 * J21) + (K2 * K21) + (L2 * L21) + (M2 * M21) + (N2 * N21)</f>
        <v>75</v>
      </c>
      <c r="D2" s="10" t="b">
        <v>1</v>
      </c>
      <c r="E2" s="9">
        <v>4.0</v>
      </c>
      <c r="F2" s="9">
        <v>3.0</v>
      </c>
      <c r="G2" s="9">
        <v>3.0</v>
      </c>
      <c r="H2" s="9">
        <v>2.0</v>
      </c>
      <c r="I2" s="9">
        <v>3.0</v>
      </c>
      <c r="J2" s="9">
        <v>5.0</v>
      </c>
      <c r="K2" s="9">
        <v>3.0</v>
      </c>
      <c r="L2" s="9">
        <v>4.0</v>
      </c>
      <c r="M2" s="9">
        <v>2.0</v>
      </c>
      <c r="N2" s="9">
        <v>5.0</v>
      </c>
    </row>
    <row r="3" ht="22.5" customHeight="1">
      <c r="A3" s="7" t="s">
        <v>25</v>
      </c>
      <c r="B3" s="8">
        <f>C3/B21 * 100</f>
        <v>82.0754717</v>
      </c>
      <c r="C3" s="9">
        <f t="shared" ref="C3:C9" si="1">IF(D3, 1, 0) + (E3 * E21) + (F3 * F21) + (G3 * G21) + (H3 * H21) + (I3 * I21) + (J3 * J21) + (K3 * K21) + (L3 * L21) + (M3 * M21) + (N3 * N21)</f>
        <v>87</v>
      </c>
      <c r="D3" s="10" t="b">
        <v>1</v>
      </c>
      <c r="E3" s="9">
        <v>3.0</v>
      </c>
      <c r="F3" s="9">
        <v>3.0</v>
      </c>
      <c r="G3" s="9">
        <v>4.0</v>
      </c>
      <c r="H3" s="9">
        <v>4.0</v>
      </c>
      <c r="I3" s="9">
        <v>5.0</v>
      </c>
      <c r="J3" s="9">
        <v>5.0</v>
      </c>
      <c r="K3" s="9">
        <v>4.0</v>
      </c>
      <c r="L3" s="9">
        <v>4.0</v>
      </c>
      <c r="M3" s="9">
        <v>3.0</v>
      </c>
      <c r="N3" s="9">
        <v>5.0</v>
      </c>
    </row>
    <row r="4" ht="22.5" customHeight="1">
      <c r="A4" s="7" t="s">
        <v>26</v>
      </c>
      <c r="B4" s="8">
        <f>C4/B21 * 100</f>
        <v>76.41509434</v>
      </c>
      <c r="C4" s="9">
        <f t="shared" si="1"/>
        <v>81</v>
      </c>
      <c r="D4" s="10" t="b">
        <v>1</v>
      </c>
      <c r="E4" s="9">
        <v>3.0</v>
      </c>
      <c r="F4" s="9">
        <v>3.0</v>
      </c>
      <c r="G4" s="9">
        <v>4.0</v>
      </c>
      <c r="H4" s="9">
        <v>4.0</v>
      </c>
      <c r="I4" s="9">
        <v>5.0</v>
      </c>
      <c r="J4" s="9">
        <v>4.0</v>
      </c>
      <c r="K4" s="9">
        <v>3.0</v>
      </c>
      <c r="L4" s="9">
        <v>4.0</v>
      </c>
      <c r="M4" s="9">
        <v>3.0</v>
      </c>
      <c r="N4" s="9">
        <v>5.0</v>
      </c>
    </row>
    <row r="5" ht="22.5" customHeight="1">
      <c r="A5" s="7" t="s">
        <v>27</v>
      </c>
      <c r="B5" s="8">
        <f>C5/B21 * 100</f>
        <v>64.1509434</v>
      </c>
      <c r="C5" s="9">
        <f t="shared" si="1"/>
        <v>68</v>
      </c>
      <c r="D5" s="10" t="b">
        <v>1</v>
      </c>
      <c r="E5" s="9">
        <v>4.0</v>
      </c>
      <c r="F5" s="9">
        <v>3.0</v>
      </c>
      <c r="G5" s="9">
        <v>2.0</v>
      </c>
      <c r="H5" s="9">
        <v>2.0</v>
      </c>
      <c r="I5" s="9">
        <v>3.0</v>
      </c>
      <c r="J5" s="9">
        <v>3.0</v>
      </c>
      <c r="K5" s="9">
        <v>3.0</v>
      </c>
      <c r="L5" s="9">
        <v>4.0</v>
      </c>
      <c r="M5" s="9">
        <v>3.0</v>
      </c>
      <c r="N5" s="9">
        <v>5.0</v>
      </c>
    </row>
    <row r="6" ht="22.5" customHeight="1">
      <c r="A6" s="7" t="s">
        <v>28</v>
      </c>
      <c r="B6" s="8">
        <f>C6/B21 * 100</f>
        <v>80.18867925</v>
      </c>
      <c r="C6" s="9">
        <f t="shared" si="1"/>
        <v>85</v>
      </c>
      <c r="D6" s="10" t="b">
        <v>0</v>
      </c>
      <c r="E6" s="9">
        <v>0.0</v>
      </c>
      <c r="F6" s="9">
        <v>3.0</v>
      </c>
      <c r="G6" s="9">
        <v>5.0</v>
      </c>
      <c r="H6" s="9">
        <v>5.0</v>
      </c>
      <c r="I6" s="9">
        <v>5.0</v>
      </c>
      <c r="J6" s="9">
        <v>5.0</v>
      </c>
      <c r="K6" s="9">
        <v>4.0</v>
      </c>
      <c r="L6" s="9">
        <v>4.0</v>
      </c>
      <c r="M6" s="9">
        <v>3.0</v>
      </c>
      <c r="N6" s="9">
        <v>5.0</v>
      </c>
    </row>
    <row r="7" ht="22.5" customHeight="1">
      <c r="A7" s="7" t="s">
        <v>29</v>
      </c>
      <c r="B7" s="8">
        <f>C7/B21 * 100</f>
        <v>77.35849057</v>
      </c>
      <c r="C7" s="9">
        <f t="shared" si="1"/>
        <v>82</v>
      </c>
      <c r="D7" s="10" t="b">
        <v>1</v>
      </c>
      <c r="E7" s="9">
        <v>4.0</v>
      </c>
      <c r="F7" s="9">
        <v>3.0</v>
      </c>
      <c r="G7" s="9">
        <v>5.0</v>
      </c>
      <c r="H7" s="9">
        <v>3.0</v>
      </c>
      <c r="I7" s="9">
        <v>5.0</v>
      </c>
      <c r="J7" s="9">
        <v>3.0</v>
      </c>
      <c r="K7" s="9">
        <v>4.0</v>
      </c>
      <c r="L7" s="9">
        <v>4.0</v>
      </c>
      <c r="M7" s="9">
        <v>3.0</v>
      </c>
      <c r="N7" s="9">
        <v>5.0</v>
      </c>
    </row>
    <row r="8" ht="22.5" customHeight="1">
      <c r="A8" s="7" t="s">
        <v>30</v>
      </c>
      <c r="B8" s="8">
        <f>C8/B21 * 100</f>
        <v>68.86792453</v>
      </c>
      <c r="C8" s="9">
        <f t="shared" si="1"/>
        <v>73</v>
      </c>
      <c r="D8" s="10" t="b">
        <v>1</v>
      </c>
      <c r="E8" s="9">
        <v>3.0</v>
      </c>
      <c r="F8" s="9">
        <v>3.0</v>
      </c>
      <c r="G8" s="9">
        <v>3.0</v>
      </c>
      <c r="H8" s="9">
        <v>2.0</v>
      </c>
      <c r="I8" s="9">
        <v>5.0</v>
      </c>
      <c r="J8" s="9">
        <v>3.0</v>
      </c>
      <c r="K8" s="9">
        <v>4.0</v>
      </c>
      <c r="L8" s="9">
        <v>4.0</v>
      </c>
      <c r="M8" s="9">
        <v>3.0</v>
      </c>
      <c r="N8" s="9">
        <v>5.0</v>
      </c>
    </row>
    <row r="9" ht="22.5" customHeight="1">
      <c r="A9" s="7" t="s">
        <v>31</v>
      </c>
      <c r="B9" s="8">
        <f>C9/B21 * 100</f>
        <v>86.79245283</v>
      </c>
      <c r="C9" s="9">
        <f t="shared" si="1"/>
        <v>92</v>
      </c>
      <c r="D9" s="10" t="b">
        <v>1</v>
      </c>
      <c r="E9" s="9">
        <v>4.0</v>
      </c>
      <c r="F9" s="9">
        <v>3.0</v>
      </c>
      <c r="G9" s="9">
        <v>4.0</v>
      </c>
      <c r="H9" s="9">
        <v>4.0</v>
      </c>
      <c r="I9" s="9">
        <v>5.0</v>
      </c>
      <c r="J9" s="9">
        <v>5.0</v>
      </c>
      <c r="K9" s="9">
        <v>5.0</v>
      </c>
      <c r="L9" s="9">
        <v>4.0</v>
      </c>
      <c r="M9" s="9">
        <v>3.0</v>
      </c>
      <c r="N9" s="9">
        <v>5.0</v>
      </c>
    </row>
    <row r="10" ht="22.5" customHeight="1">
      <c r="A10" s="3" t="s">
        <v>32</v>
      </c>
      <c r="B10" s="4">
        <f>MEDIAN(Tabela_1[Nota Final (%)])</f>
        <v>76.88679245</v>
      </c>
      <c r="C10" s="5">
        <f>MEDIAN(Tabela_1[Pontos Totais (max 106)])</f>
        <v>81.5</v>
      </c>
      <c r="D10" s="3"/>
      <c r="E10" s="4">
        <f>AVERAGE(Tabela_1[Qualidade Áudio])</f>
        <v>3.125</v>
      </c>
      <c r="F10" s="5">
        <f>AVERAGE(Tabela_1[Resolução])</f>
        <v>3</v>
      </c>
      <c r="G10" s="4">
        <f>AVERAGE(Tabela_1[Qualidade Visual])</f>
        <v>3.75</v>
      </c>
      <c r="H10" s="4">
        <f>AVERAGE(Tabela_1[Permanência Objetos])</f>
        <v>3.25</v>
      </c>
      <c r="I10" s="5">
        <f>AVERAGE(Tabela_1[Enquadramento])</f>
        <v>4.5</v>
      </c>
      <c r="J10" s="4">
        <f>AVERAGE(Tabela_1[Estabilidade Temporal])</f>
        <v>4.125</v>
      </c>
      <c r="K10" s="4">
        <f>AVERAGE(Tabela_1[Alinhamento Prompt])</f>
        <v>3.75</v>
      </c>
      <c r="L10" s="5">
        <f>AVERAGE(Tabela_1[Utilidade])</f>
        <v>4</v>
      </c>
      <c r="M10" s="4">
        <f>AVERAGE(Tabela_1[Loop])</f>
        <v>2.875</v>
      </c>
      <c r="N10" s="5">
        <f>AVERAGE(Tabela_1[Tamanho Prompt])</f>
        <v>5</v>
      </c>
    </row>
    <row r="21">
      <c r="A21" s="11" t="s">
        <v>33</v>
      </c>
      <c r="B21" s="12">
        <f> 1 + (5 * E21) + (5 * F21) + (5 * G21) + (5 * H21) + (5 * I21) + (5 * J21) + (5 * K21) + (5* L21) + (5* M21) + (5* N21)</f>
        <v>106</v>
      </c>
      <c r="C21" s="11" t="s">
        <v>34</v>
      </c>
      <c r="D21" s="13">
        <v>1.0</v>
      </c>
      <c r="E21" s="13">
        <v>2.0</v>
      </c>
      <c r="F21" s="13">
        <v>1.0</v>
      </c>
      <c r="G21" s="13">
        <v>2.0</v>
      </c>
      <c r="H21" s="13">
        <v>3.0</v>
      </c>
      <c r="I21" s="13">
        <v>1.0</v>
      </c>
      <c r="J21" s="13">
        <v>3.0</v>
      </c>
      <c r="K21" s="13">
        <v>3.0</v>
      </c>
      <c r="L21" s="13">
        <v>3.0</v>
      </c>
      <c r="M21" s="13">
        <v>1.0</v>
      </c>
      <c r="N21" s="13">
        <v>2.0</v>
      </c>
    </row>
    <row r="22">
      <c r="D22" s="13">
        <v>1.0</v>
      </c>
      <c r="E22" s="13">
        <v>2.0</v>
      </c>
      <c r="F22" s="13">
        <v>1.0</v>
      </c>
      <c r="G22" s="13">
        <v>2.0</v>
      </c>
      <c r="H22" s="13">
        <v>3.0</v>
      </c>
      <c r="I22" s="13">
        <v>1.0</v>
      </c>
      <c r="J22" s="13">
        <v>3.0</v>
      </c>
      <c r="K22" s="13">
        <v>3.0</v>
      </c>
      <c r="L22" s="13">
        <v>3.0</v>
      </c>
      <c r="M22" s="13">
        <v>1.0</v>
      </c>
      <c r="N22" s="13">
        <v>2.0</v>
      </c>
    </row>
    <row r="23">
      <c r="D23" s="13">
        <v>1.0</v>
      </c>
      <c r="E23" s="13">
        <v>2.0</v>
      </c>
      <c r="F23" s="13">
        <v>1.0</v>
      </c>
      <c r="G23" s="13">
        <v>2.0</v>
      </c>
      <c r="H23" s="13">
        <v>3.0</v>
      </c>
      <c r="I23" s="13">
        <v>1.0</v>
      </c>
      <c r="J23" s="13">
        <v>3.0</v>
      </c>
      <c r="K23" s="13">
        <v>3.0</v>
      </c>
      <c r="L23" s="13">
        <v>3.0</v>
      </c>
      <c r="M23" s="13">
        <v>1.0</v>
      </c>
      <c r="N23" s="13">
        <v>2.0</v>
      </c>
    </row>
    <row r="24">
      <c r="D24" s="13">
        <v>1.0</v>
      </c>
      <c r="E24" s="13">
        <v>2.0</v>
      </c>
      <c r="F24" s="13">
        <v>1.0</v>
      </c>
      <c r="G24" s="13">
        <v>2.0</v>
      </c>
      <c r="H24" s="13">
        <v>3.0</v>
      </c>
      <c r="I24" s="13">
        <v>1.0</v>
      </c>
      <c r="J24" s="13">
        <v>3.0</v>
      </c>
      <c r="K24" s="13">
        <v>3.0</v>
      </c>
      <c r="L24" s="13">
        <v>3.0</v>
      </c>
      <c r="M24" s="13">
        <v>1.0</v>
      </c>
      <c r="N24" s="13">
        <v>2.0</v>
      </c>
    </row>
    <row r="25">
      <c r="D25" s="13">
        <v>1.0</v>
      </c>
      <c r="E25" s="13">
        <v>2.0</v>
      </c>
      <c r="F25" s="13">
        <v>1.0</v>
      </c>
      <c r="G25" s="13">
        <v>2.0</v>
      </c>
      <c r="H25" s="13">
        <v>3.0</v>
      </c>
      <c r="I25" s="13">
        <v>1.0</v>
      </c>
      <c r="J25" s="13">
        <v>3.0</v>
      </c>
      <c r="K25" s="13">
        <v>3.0</v>
      </c>
      <c r="L25" s="13">
        <v>3.0</v>
      </c>
      <c r="M25" s="13">
        <v>1.0</v>
      </c>
      <c r="N25" s="13">
        <v>2.0</v>
      </c>
    </row>
    <row r="26">
      <c r="D26" s="13">
        <v>1.0</v>
      </c>
      <c r="E26" s="13">
        <v>2.0</v>
      </c>
      <c r="F26" s="13">
        <v>1.0</v>
      </c>
      <c r="G26" s="13">
        <v>2.0</v>
      </c>
      <c r="H26" s="13">
        <v>3.0</v>
      </c>
      <c r="I26" s="13">
        <v>1.0</v>
      </c>
      <c r="J26" s="13">
        <v>3.0</v>
      </c>
      <c r="K26" s="13">
        <v>3.0</v>
      </c>
      <c r="L26" s="13">
        <v>3.0</v>
      </c>
      <c r="M26" s="13">
        <v>1.0</v>
      </c>
      <c r="N26" s="13">
        <v>2.0</v>
      </c>
    </row>
    <row r="27">
      <c r="D27" s="13">
        <v>1.0</v>
      </c>
      <c r="E27" s="13">
        <v>2.0</v>
      </c>
      <c r="F27" s="13">
        <v>1.0</v>
      </c>
      <c r="G27" s="13">
        <v>2.0</v>
      </c>
      <c r="H27" s="13">
        <v>3.0</v>
      </c>
      <c r="I27" s="13">
        <v>1.0</v>
      </c>
      <c r="J27" s="13">
        <v>3.0</v>
      </c>
      <c r="K27" s="13">
        <v>3.0</v>
      </c>
      <c r="L27" s="13">
        <v>3.0</v>
      </c>
      <c r="M27" s="13">
        <v>1.0</v>
      </c>
      <c r="N27" s="13">
        <v>2.0</v>
      </c>
    </row>
  </sheetData>
  <dataValidations>
    <dataValidation type="list" allowBlank="1" sqref="D2:D9">
      <formula1>"True,False"</formula1>
    </dataValidation>
    <dataValidation type="custom" allowBlank="1" showDropDown="1" sqref="B2:C9 E2:N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6.88"/>
    <col customWidth="1" min="3" max="3" width="25.5"/>
    <col customWidth="1" min="4" max="4" width="17.13"/>
    <col customWidth="1" min="5" max="5" width="22.25"/>
    <col customWidth="1" min="6" max="6" width="17.0"/>
    <col customWidth="1" min="7" max="7" width="22.38"/>
    <col customWidth="1" min="8" max="8" width="26.13"/>
    <col customWidth="1" min="9" max="9" width="21.88"/>
    <col customWidth="1" min="10" max="10" width="26.63"/>
    <col customWidth="1" min="11" max="11" width="25.75"/>
    <col customWidth="1" min="12" max="12" width="16.13"/>
    <col customWidth="1" min="13" max="13" width="13.88"/>
    <col customWidth="1" min="14" max="14" width="22.75"/>
    <col customWidth="1" min="15" max="26" width="13.88"/>
  </cols>
  <sheetData>
    <row r="1" ht="22.5" customHeight="1">
      <c r="A1" s="1" t="s">
        <v>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7" t="s">
        <v>35</v>
      </c>
      <c r="B2" s="8">
        <f>C2/B21 * 100</f>
        <v>73.58490566</v>
      </c>
      <c r="C2" s="9">
        <f>IF(D2, 1, 0) + (E2 * E21) + (F2 * F21) + (G2 * G21) + (H2 * H21) + (I2 * I21) + (J2 * J21) + (K2 * K21) + (L2 * L21) + (M2 * M21) + (N2 * N21)</f>
        <v>78</v>
      </c>
      <c r="D2" s="10" t="b">
        <v>1</v>
      </c>
      <c r="E2" s="9">
        <v>3.0</v>
      </c>
      <c r="F2" s="9">
        <v>3.0</v>
      </c>
      <c r="G2" s="9">
        <v>4.0</v>
      </c>
      <c r="H2" s="9">
        <v>3.0</v>
      </c>
      <c r="I2" s="9">
        <v>5.0</v>
      </c>
      <c r="J2" s="9">
        <v>4.0</v>
      </c>
      <c r="K2" s="9">
        <v>3.0</v>
      </c>
      <c r="L2" s="9">
        <v>4.0</v>
      </c>
      <c r="M2" s="9">
        <v>3.0</v>
      </c>
      <c r="N2" s="9">
        <v>5.0</v>
      </c>
    </row>
    <row r="3" ht="22.5" customHeight="1">
      <c r="A3" s="7" t="s">
        <v>36</v>
      </c>
      <c r="B3" s="8">
        <f>C3/B21 * 100</f>
        <v>75.47169811</v>
      </c>
      <c r="C3" s="9">
        <f t="shared" ref="C3:C9" si="1">IF(D3, 1, 0) + (E3 * E21) + (F3 * F21) + (G3 * G21) + (H3 * H21) + (I3 * I21) + (J3 * J21) + (K3 * K21) + (L3 * L21) + (M3 * M21) + (N3 * N21)</f>
        <v>80</v>
      </c>
      <c r="D3" s="10" t="b">
        <v>1</v>
      </c>
      <c r="E3" s="9">
        <v>4.0</v>
      </c>
      <c r="F3" s="9">
        <v>3.0</v>
      </c>
      <c r="G3" s="9">
        <v>4.0</v>
      </c>
      <c r="H3" s="9">
        <v>4.0</v>
      </c>
      <c r="I3" s="9">
        <v>2.0</v>
      </c>
      <c r="J3" s="9">
        <v>4.0</v>
      </c>
      <c r="K3" s="9">
        <v>3.0</v>
      </c>
      <c r="L3" s="9">
        <v>4.0</v>
      </c>
      <c r="M3" s="9">
        <v>3.0</v>
      </c>
      <c r="N3" s="9">
        <v>5.0</v>
      </c>
    </row>
    <row r="4" ht="22.5" customHeight="1">
      <c r="A4" s="7" t="s">
        <v>37</v>
      </c>
      <c r="B4" s="8">
        <f>C4/B21 * 100</f>
        <v>68.86792453</v>
      </c>
      <c r="C4" s="9">
        <f t="shared" si="1"/>
        <v>73</v>
      </c>
      <c r="D4" s="10" t="b">
        <v>1</v>
      </c>
      <c r="E4" s="9">
        <v>3.0</v>
      </c>
      <c r="F4" s="9">
        <v>3.0</v>
      </c>
      <c r="G4" s="9">
        <v>4.0</v>
      </c>
      <c r="H4" s="9">
        <v>3.0</v>
      </c>
      <c r="I4" s="9">
        <v>3.0</v>
      </c>
      <c r="J4" s="9">
        <v>3.0</v>
      </c>
      <c r="K4" s="9">
        <v>3.0</v>
      </c>
      <c r="L4" s="9">
        <v>4.0</v>
      </c>
      <c r="M4" s="9">
        <v>3.0</v>
      </c>
      <c r="N4" s="9">
        <v>5.0</v>
      </c>
    </row>
    <row r="5" ht="22.5" customHeight="1">
      <c r="A5" s="7" t="s">
        <v>38</v>
      </c>
      <c r="B5" s="8">
        <f>C5/B21 * 100</f>
        <v>63.20754717</v>
      </c>
      <c r="C5" s="9">
        <f t="shared" si="1"/>
        <v>67</v>
      </c>
      <c r="D5" s="10" t="b">
        <v>1</v>
      </c>
      <c r="E5" s="9">
        <v>3.0</v>
      </c>
      <c r="F5" s="9">
        <v>3.0</v>
      </c>
      <c r="G5" s="9">
        <v>2.0</v>
      </c>
      <c r="H5" s="9">
        <v>2.0</v>
      </c>
      <c r="I5" s="9">
        <v>4.0</v>
      </c>
      <c r="J5" s="9">
        <v>3.0</v>
      </c>
      <c r="K5" s="9">
        <v>3.0</v>
      </c>
      <c r="L5" s="9">
        <v>4.0</v>
      </c>
      <c r="M5" s="9">
        <v>3.0</v>
      </c>
      <c r="N5" s="9">
        <v>5.0</v>
      </c>
    </row>
    <row r="6" ht="22.5" customHeight="1">
      <c r="A6" s="7" t="s">
        <v>39</v>
      </c>
      <c r="B6" s="8">
        <f>C6/B21 * 100</f>
        <v>74.52830189</v>
      </c>
      <c r="C6" s="9">
        <f t="shared" si="1"/>
        <v>79</v>
      </c>
      <c r="D6" s="10" t="b">
        <v>1</v>
      </c>
      <c r="E6" s="9">
        <v>4.0</v>
      </c>
      <c r="F6" s="9">
        <v>3.0</v>
      </c>
      <c r="G6" s="9">
        <v>4.0</v>
      </c>
      <c r="H6" s="9">
        <v>2.0</v>
      </c>
      <c r="I6" s="9">
        <v>4.0</v>
      </c>
      <c r="J6" s="9">
        <v>4.0</v>
      </c>
      <c r="K6" s="9">
        <v>4.0</v>
      </c>
      <c r="L6" s="9">
        <v>4.0</v>
      </c>
      <c r="M6" s="9">
        <v>3.0</v>
      </c>
      <c r="N6" s="9">
        <v>5.0</v>
      </c>
    </row>
    <row r="7" ht="22.5" customHeight="1">
      <c r="A7" s="7" t="s">
        <v>40</v>
      </c>
      <c r="B7" s="8">
        <f>C7/B21 * 100</f>
        <v>63.20754717</v>
      </c>
      <c r="C7" s="9">
        <f t="shared" si="1"/>
        <v>67</v>
      </c>
      <c r="D7" s="10" t="b">
        <v>1</v>
      </c>
      <c r="E7" s="9">
        <v>3.0</v>
      </c>
      <c r="F7" s="9">
        <v>3.0</v>
      </c>
      <c r="G7" s="9">
        <v>2.0</v>
      </c>
      <c r="H7" s="9">
        <v>2.0</v>
      </c>
      <c r="I7" s="9">
        <v>4.0</v>
      </c>
      <c r="J7" s="9">
        <v>3.0</v>
      </c>
      <c r="K7" s="9">
        <v>3.0</v>
      </c>
      <c r="L7" s="9">
        <v>4.0</v>
      </c>
      <c r="M7" s="9">
        <v>3.0</v>
      </c>
      <c r="N7" s="9">
        <v>5.0</v>
      </c>
    </row>
    <row r="8" ht="22.5" customHeight="1">
      <c r="A8" s="7" t="s">
        <v>41</v>
      </c>
      <c r="B8" s="8">
        <f>C8/B21 * 100</f>
        <v>63.20754717</v>
      </c>
      <c r="C8" s="9">
        <f t="shared" si="1"/>
        <v>67</v>
      </c>
      <c r="D8" s="10" t="b">
        <v>1</v>
      </c>
      <c r="E8" s="9">
        <v>3.0</v>
      </c>
      <c r="F8" s="9">
        <v>3.0</v>
      </c>
      <c r="G8" s="9">
        <v>2.0</v>
      </c>
      <c r="H8" s="9">
        <v>2.0</v>
      </c>
      <c r="I8" s="9">
        <v>4.0</v>
      </c>
      <c r="J8" s="9">
        <v>3.0</v>
      </c>
      <c r="K8" s="9">
        <v>3.0</v>
      </c>
      <c r="L8" s="9">
        <v>4.0</v>
      </c>
      <c r="M8" s="9">
        <v>3.0</v>
      </c>
      <c r="N8" s="9">
        <v>5.0</v>
      </c>
    </row>
    <row r="9" ht="22.5" customHeight="1">
      <c r="A9" s="7" t="s">
        <v>42</v>
      </c>
      <c r="B9" s="8">
        <f>C9/B21 * 100</f>
        <v>65.09433962</v>
      </c>
      <c r="C9" s="9">
        <f t="shared" si="1"/>
        <v>69</v>
      </c>
      <c r="D9" s="10" t="b">
        <v>1</v>
      </c>
      <c r="E9" s="9">
        <v>3.0</v>
      </c>
      <c r="F9" s="9">
        <v>3.0</v>
      </c>
      <c r="G9" s="9">
        <v>3.0</v>
      </c>
      <c r="H9" s="9">
        <v>2.0</v>
      </c>
      <c r="I9" s="9">
        <v>4.0</v>
      </c>
      <c r="J9" s="9">
        <v>4.0</v>
      </c>
      <c r="K9" s="9">
        <v>2.0</v>
      </c>
      <c r="L9" s="9">
        <v>4.0</v>
      </c>
      <c r="M9" s="9">
        <v>3.0</v>
      </c>
      <c r="N9" s="9">
        <v>5.0</v>
      </c>
    </row>
    <row r="10" ht="22.5" customHeight="1">
      <c r="A10" s="3" t="s">
        <v>32</v>
      </c>
      <c r="B10" s="4">
        <f>MEDIAN(Tabela[Nota Final (%)])</f>
        <v>66.98113208</v>
      </c>
      <c r="C10" s="5">
        <f>MEDIAN(Tabela[Pontos Totais (max 106)])</f>
        <v>71</v>
      </c>
      <c r="D10" s="3"/>
      <c r="E10" s="4">
        <f>AVERAGE(Tabela[Qualidade Áudio])</f>
        <v>3.25</v>
      </c>
      <c r="F10" s="5">
        <f>AVERAGE(Tabela[Resolução])</f>
        <v>3</v>
      </c>
      <c r="G10" s="4">
        <f>AVERAGE(Tabela[Qualidade Visual])</f>
        <v>3.125</v>
      </c>
      <c r="H10" s="4">
        <f>AVERAGE(Tabela[Permanência Objetos])</f>
        <v>2.5</v>
      </c>
      <c r="I10" s="4">
        <f>AVERAGE(Tabela[Enquadramento])</f>
        <v>3.75</v>
      </c>
      <c r="J10" s="4">
        <f>AVERAGE(Tabela[Estabilidade Temporal])</f>
        <v>3.5</v>
      </c>
      <c r="K10" s="4">
        <f>AVERAGE(Tabela[Alinhamento Prompt])</f>
        <v>3</v>
      </c>
      <c r="L10" s="5">
        <f>AVERAGE(Tabela[Utilidade])</f>
        <v>4</v>
      </c>
      <c r="M10" s="4">
        <f>AVERAGE(Tabela[Loop])</f>
        <v>3</v>
      </c>
      <c r="N10" s="5">
        <f>AVERAGE(Tabela[Tamanho Prompt])</f>
        <v>5</v>
      </c>
    </row>
    <row r="21">
      <c r="A21" s="11" t="s">
        <v>33</v>
      </c>
      <c r="B21" s="12">
        <f> 1 + (5 * E21) + (5 * F21) + (5 * G21) + (5 * H21) + (5 * I21) + (5 * J21) + (5 * K21) + (5* L21) + (5* M21) + (5* N21)</f>
        <v>106</v>
      </c>
      <c r="C21" s="11" t="s">
        <v>34</v>
      </c>
      <c r="D21" s="13">
        <v>1.0</v>
      </c>
      <c r="E21" s="13">
        <v>2.0</v>
      </c>
      <c r="F21" s="13">
        <v>1.0</v>
      </c>
      <c r="G21" s="13">
        <v>2.0</v>
      </c>
      <c r="H21" s="13">
        <v>3.0</v>
      </c>
      <c r="I21" s="13">
        <v>1.0</v>
      </c>
      <c r="J21" s="13">
        <v>3.0</v>
      </c>
      <c r="K21" s="13">
        <v>3.0</v>
      </c>
      <c r="L21" s="13">
        <v>3.0</v>
      </c>
      <c r="M21" s="13">
        <v>1.0</v>
      </c>
      <c r="N21" s="13">
        <v>2.0</v>
      </c>
    </row>
    <row r="22">
      <c r="D22" s="13">
        <v>1.0</v>
      </c>
      <c r="E22" s="13">
        <v>2.0</v>
      </c>
      <c r="F22" s="13">
        <v>1.0</v>
      </c>
      <c r="G22" s="13">
        <v>2.0</v>
      </c>
      <c r="H22" s="13">
        <v>3.0</v>
      </c>
      <c r="I22" s="13">
        <v>1.0</v>
      </c>
      <c r="J22" s="13">
        <v>3.0</v>
      </c>
      <c r="K22" s="13">
        <v>3.0</v>
      </c>
      <c r="L22" s="13">
        <v>3.0</v>
      </c>
      <c r="M22" s="13">
        <v>1.0</v>
      </c>
      <c r="N22" s="13">
        <v>2.0</v>
      </c>
    </row>
    <row r="23">
      <c r="D23" s="13">
        <v>1.0</v>
      </c>
      <c r="E23" s="13">
        <v>2.0</v>
      </c>
      <c r="F23" s="13">
        <v>1.0</v>
      </c>
      <c r="G23" s="13">
        <v>2.0</v>
      </c>
      <c r="H23" s="13">
        <v>3.0</v>
      </c>
      <c r="I23" s="13">
        <v>1.0</v>
      </c>
      <c r="J23" s="13">
        <v>3.0</v>
      </c>
      <c r="K23" s="13">
        <v>3.0</v>
      </c>
      <c r="L23" s="13">
        <v>3.0</v>
      </c>
      <c r="M23" s="13">
        <v>1.0</v>
      </c>
      <c r="N23" s="13">
        <v>2.0</v>
      </c>
    </row>
    <row r="24">
      <c r="D24" s="13">
        <v>1.0</v>
      </c>
      <c r="E24" s="13">
        <v>2.0</v>
      </c>
      <c r="F24" s="13">
        <v>1.0</v>
      </c>
      <c r="G24" s="13">
        <v>2.0</v>
      </c>
      <c r="H24" s="13">
        <v>3.0</v>
      </c>
      <c r="I24" s="13">
        <v>1.0</v>
      </c>
      <c r="J24" s="13">
        <v>3.0</v>
      </c>
      <c r="K24" s="13">
        <v>3.0</v>
      </c>
      <c r="L24" s="13">
        <v>3.0</v>
      </c>
      <c r="M24" s="13">
        <v>1.0</v>
      </c>
      <c r="N24" s="13">
        <v>2.0</v>
      </c>
    </row>
    <row r="25">
      <c r="D25" s="13">
        <v>1.0</v>
      </c>
      <c r="E25" s="13">
        <v>2.0</v>
      </c>
      <c r="F25" s="13">
        <v>1.0</v>
      </c>
      <c r="G25" s="13">
        <v>2.0</v>
      </c>
      <c r="H25" s="13">
        <v>3.0</v>
      </c>
      <c r="I25" s="13">
        <v>1.0</v>
      </c>
      <c r="J25" s="13">
        <v>3.0</v>
      </c>
      <c r="K25" s="13">
        <v>3.0</v>
      </c>
      <c r="L25" s="13">
        <v>3.0</v>
      </c>
      <c r="M25" s="13">
        <v>1.0</v>
      </c>
      <c r="N25" s="13">
        <v>2.0</v>
      </c>
    </row>
    <row r="26">
      <c r="D26" s="13">
        <v>1.0</v>
      </c>
      <c r="E26" s="13">
        <v>2.0</v>
      </c>
      <c r="F26" s="13">
        <v>1.0</v>
      </c>
      <c r="G26" s="13">
        <v>2.0</v>
      </c>
      <c r="H26" s="13">
        <v>3.0</v>
      </c>
      <c r="I26" s="13">
        <v>1.0</v>
      </c>
      <c r="J26" s="13">
        <v>3.0</v>
      </c>
      <c r="K26" s="13">
        <v>3.0</v>
      </c>
      <c r="L26" s="13">
        <v>3.0</v>
      </c>
      <c r="M26" s="13">
        <v>1.0</v>
      </c>
      <c r="N26" s="13">
        <v>2.0</v>
      </c>
    </row>
    <row r="27">
      <c r="D27" s="13">
        <v>1.0</v>
      </c>
      <c r="E27" s="13">
        <v>2.0</v>
      </c>
      <c r="F27" s="13">
        <v>1.0</v>
      </c>
      <c r="G27" s="13">
        <v>2.0</v>
      </c>
      <c r="H27" s="13">
        <v>3.0</v>
      </c>
      <c r="I27" s="13">
        <v>1.0</v>
      </c>
      <c r="J27" s="13">
        <v>3.0</v>
      </c>
      <c r="K27" s="13">
        <v>3.0</v>
      </c>
      <c r="L27" s="13">
        <v>3.0</v>
      </c>
      <c r="M27" s="13">
        <v>1.0</v>
      </c>
      <c r="N27" s="13">
        <v>2.0</v>
      </c>
    </row>
  </sheetData>
  <dataValidations>
    <dataValidation type="list" allowBlank="1" sqref="D2:D9">
      <formula1>"True,False"</formula1>
    </dataValidation>
    <dataValidation type="custom" allowBlank="1" showDropDown="1" sqref="B2:C9 E2:N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6.88"/>
    <col customWidth="1" min="3" max="3" width="25.5"/>
    <col customWidth="1" min="4" max="4" width="17.13"/>
    <col customWidth="1" min="5" max="5" width="22.25"/>
    <col customWidth="1" min="6" max="6" width="17.0"/>
    <col customWidth="1" min="7" max="7" width="22.38"/>
    <col customWidth="1" min="8" max="8" width="26.13"/>
    <col customWidth="1" min="9" max="9" width="21.88"/>
    <col customWidth="1" min="10" max="10" width="26.63"/>
    <col customWidth="1" min="11" max="11" width="25.75"/>
    <col customWidth="1" min="12" max="12" width="16.13"/>
    <col customWidth="1" min="13" max="13" width="13.88"/>
    <col customWidth="1" min="14" max="14" width="22.75"/>
    <col customWidth="1" min="15" max="26" width="13.88"/>
  </cols>
  <sheetData>
    <row r="1" ht="22.5" customHeight="1">
      <c r="A1" s="1" t="s">
        <v>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7" t="s">
        <v>43</v>
      </c>
      <c r="B2" s="8">
        <f>C2/B20 * 100</f>
        <v>47.16981132</v>
      </c>
      <c r="C2" s="9">
        <f>IF(D2, 1, 0) + (E2 * E20) + (F2 * F20) + (G2 * G20) + (H2 * H20) + (I2 * I20) + (J2 * J20) + (K2 * K20) + (L2 * L20) + (M2 * M20) + (N2 * N20)</f>
        <v>50</v>
      </c>
      <c r="D2" s="10" t="b">
        <v>0</v>
      </c>
      <c r="E2" s="9">
        <v>0.0</v>
      </c>
      <c r="F2" s="9">
        <v>3.0</v>
      </c>
      <c r="G2" s="9">
        <v>2.0</v>
      </c>
      <c r="H2" s="9">
        <v>1.0</v>
      </c>
      <c r="I2" s="9">
        <v>3.0</v>
      </c>
      <c r="J2" s="9">
        <v>2.0</v>
      </c>
      <c r="K2" s="9">
        <v>1.0</v>
      </c>
      <c r="L2" s="9">
        <v>5.0</v>
      </c>
      <c r="M2" s="9">
        <v>3.0</v>
      </c>
      <c r="N2" s="9">
        <v>5.0</v>
      </c>
    </row>
    <row r="3" ht="22.5" customHeight="1">
      <c r="A3" s="7" t="s">
        <v>44</v>
      </c>
      <c r="B3" s="8">
        <f>C3/B20 * 100</f>
        <v>60.37735849</v>
      </c>
      <c r="C3" s="9">
        <f t="shared" ref="C3:C8" si="1">IF(D3, 1, 0) + (E3 * E20) + (F3 * F20) + (G3 * G20) + (H3 * H20) + (I3 * I20) + (J3 * J20) + (K3 * K20) + (L3 * L20) + (M3 * M20) + (N3 * N20)</f>
        <v>64</v>
      </c>
      <c r="D3" s="10" t="b">
        <v>0</v>
      </c>
      <c r="E3" s="9">
        <v>0.0</v>
      </c>
      <c r="F3" s="9">
        <v>3.0</v>
      </c>
      <c r="G3" s="9">
        <v>4.0</v>
      </c>
      <c r="H3" s="9">
        <v>2.0</v>
      </c>
      <c r="I3" s="9">
        <v>4.0</v>
      </c>
      <c r="J3" s="9">
        <v>2.0</v>
      </c>
      <c r="K3" s="9">
        <v>3.0</v>
      </c>
      <c r="L3" s="9">
        <v>5.0</v>
      </c>
      <c r="M3" s="9">
        <v>3.0</v>
      </c>
      <c r="N3" s="9">
        <v>5.0</v>
      </c>
    </row>
    <row r="4" ht="22.5" customHeight="1">
      <c r="A4" s="7" t="s">
        <v>45</v>
      </c>
      <c r="B4" s="8">
        <f>C4/B20 * 100</f>
        <v>55.66037736</v>
      </c>
      <c r="C4" s="9">
        <f t="shared" si="1"/>
        <v>59</v>
      </c>
      <c r="D4" s="10" t="b">
        <v>0</v>
      </c>
      <c r="E4" s="9">
        <v>0.0</v>
      </c>
      <c r="F4" s="9">
        <v>3.0</v>
      </c>
      <c r="G4" s="9">
        <v>3.0</v>
      </c>
      <c r="H4" s="9">
        <v>2.0</v>
      </c>
      <c r="I4" s="9">
        <v>4.0</v>
      </c>
      <c r="J4" s="9">
        <v>2.0</v>
      </c>
      <c r="K4" s="9">
        <v>2.0</v>
      </c>
      <c r="L4" s="9">
        <v>5.0</v>
      </c>
      <c r="M4" s="9">
        <v>3.0</v>
      </c>
      <c r="N4" s="9">
        <v>5.0</v>
      </c>
    </row>
    <row r="5" ht="22.5" customHeight="1">
      <c r="A5" s="7" t="s">
        <v>46</v>
      </c>
      <c r="B5" s="8">
        <f>C5/B20 * 100</f>
        <v>48.11320755</v>
      </c>
      <c r="C5" s="9">
        <f t="shared" si="1"/>
        <v>51</v>
      </c>
      <c r="D5" s="10" t="b">
        <v>0</v>
      </c>
      <c r="E5" s="9">
        <v>0.0</v>
      </c>
      <c r="F5" s="9">
        <v>3.0</v>
      </c>
      <c r="G5" s="9">
        <v>1.0</v>
      </c>
      <c r="H5" s="9">
        <v>1.0</v>
      </c>
      <c r="I5" s="9">
        <v>3.0</v>
      </c>
      <c r="J5" s="9">
        <v>2.0</v>
      </c>
      <c r="K5" s="9">
        <v>2.0</v>
      </c>
      <c r="L5" s="9">
        <v>5.0</v>
      </c>
      <c r="M5" s="9">
        <v>3.0</v>
      </c>
      <c r="N5" s="9">
        <v>5.0</v>
      </c>
    </row>
    <row r="6" ht="22.5" customHeight="1">
      <c r="A6" s="7" t="s">
        <v>47</v>
      </c>
      <c r="B6" s="8">
        <f>C6/B20 * 100</f>
        <v>54.71698113</v>
      </c>
      <c r="C6" s="9">
        <f t="shared" si="1"/>
        <v>58</v>
      </c>
      <c r="D6" s="10" t="b">
        <v>0</v>
      </c>
      <c r="E6" s="9">
        <v>0.0</v>
      </c>
      <c r="F6" s="9">
        <v>3.0</v>
      </c>
      <c r="G6" s="9">
        <v>3.0</v>
      </c>
      <c r="H6" s="9">
        <v>1.0</v>
      </c>
      <c r="I6" s="9">
        <v>3.0</v>
      </c>
      <c r="J6" s="9">
        <v>2.0</v>
      </c>
      <c r="K6" s="9">
        <v>3.0</v>
      </c>
      <c r="L6" s="9">
        <v>5.0</v>
      </c>
      <c r="M6" s="9">
        <v>3.0</v>
      </c>
      <c r="N6" s="9">
        <v>5.0</v>
      </c>
    </row>
    <row r="7" ht="22.5" customHeight="1">
      <c r="A7" s="7" t="s">
        <v>48</v>
      </c>
      <c r="B7" s="8">
        <f>C7/B20 * 100</f>
        <v>50</v>
      </c>
      <c r="C7" s="9">
        <f t="shared" si="1"/>
        <v>53</v>
      </c>
      <c r="D7" s="10" t="b">
        <v>0</v>
      </c>
      <c r="E7" s="9">
        <v>0.0</v>
      </c>
      <c r="F7" s="9">
        <v>3.0</v>
      </c>
      <c r="G7" s="9">
        <v>2.0</v>
      </c>
      <c r="H7" s="9">
        <v>1.0</v>
      </c>
      <c r="I7" s="9">
        <v>3.0</v>
      </c>
      <c r="J7" s="9">
        <v>2.0</v>
      </c>
      <c r="K7" s="9">
        <v>2.0</v>
      </c>
      <c r="L7" s="9">
        <v>5.0</v>
      </c>
      <c r="M7" s="9">
        <v>3.0</v>
      </c>
      <c r="N7" s="9">
        <v>5.0</v>
      </c>
    </row>
    <row r="8" ht="22.5" customHeight="1">
      <c r="A8" s="7" t="s">
        <v>49</v>
      </c>
      <c r="B8" s="8">
        <f>C8/B20 * 100</f>
        <v>46.22641509</v>
      </c>
      <c r="C8" s="9">
        <f t="shared" si="1"/>
        <v>49</v>
      </c>
      <c r="D8" s="10" t="b">
        <v>0</v>
      </c>
      <c r="E8" s="9">
        <v>0.0</v>
      </c>
      <c r="F8" s="9">
        <v>3.0</v>
      </c>
      <c r="G8" s="9">
        <v>2.0</v>
      </c>
      <c r="H8" s="9">
        <v>1.0</v>
      </c>
      <c r="I8" s="9">
        <v>2.0</v>
      </c>
      <c r="J8" s="9">
        <v>2.0</v>
      </c>
      <c r="K8" s="9">
        <v>1.0</v>
      </c>
      <c r="L8" s="9">
        <v>5.0</v>
      </c>
      <c r="M8" s="9">
        <v>3.0</v>
      </c>
      <c r="N8" s="9">
        <v>5.0</v>
      </c>
    </row>
    <row r="9" ht="22.5" customHeight="1">
      <c r="A9" s="3" t="s">
        <v>32</v>
      </c>
      <c r="B9" s="4">
        <f>MEDIAN(Tabela_2[Nota Final (%)])</f>
        <v>50</v>
      </c>
      <c r="C9" s="5">
        <f>MEDIAN(Tabela_2[Pontos Totais (max 106)])</f>
        <v>53</v>
      </c>
      <c r="D9" s="3"/>
      <c r="E9" s="4">
        <f>AVERAGE(Tabela_2[Qualidade Áudio])</f>
        <v>0</v>
      </c>
      <c r="F9" s="5">
        <f>AVERAGE(Tabela_2[Resolução])</f>
        <v>3</v>
      </c>
      <c r="G9" s="4">
        <f>AVERAGE(Tabela_2[Qualidade Visual])</f>
        <v>2.428571429</v>
      </c>
      <c r="H9" s="4">
        <f>AVERAGE(Tabela_2[Permanência Objetos])</f>
        <v>1.285714286</v>
      </c>
      <c r="I9" s="4">
        <f>AVERAGE(Tabela_2[Enquadramento])</f>
        <v>3.142857143</v>
      </c>
      <c r="J9" s="4">
        <f>AVERAGE(Tabela_2[Estabilidade Temporal])</f>
        <v>2</v>
      </c>
      <c r="K9" s="4">
        <f>AVERAGE(Tabela_2[Alinhamento Prompt])</f>
        <v>2</v>
      </c>
      <c r="L9" s="5">
        <f>AVERAGE(Tabela_2[Utilidade])</f>
        <v>5</v>
      </c>
      <c r="M9" s="4">
        <f>AVERAGE(Tabela_2[Loop])</f>
        <v>3</v>
      </c>
      <c r="N9" s="5">
        <f>AVERAGE(Tabela_2[Tamanho Prompt])</f>
        <v>5</v>
      </c>
    </row>
    <row r="20">
      <c r="A20" s="11" t="s">
        <v>33</v>
      </c>
      <c r="B20" s="12">
        <f> 1 + (5 * E20) + (5 * F20) + (5 * G20) + (5 * H20) + (5 * I20) + (5 * J20) + (5 * K20) + (5* L20) + (5* M20) + (5* N20)</f>
        <v>106</v>
      </c>
      <c r="C20" s="11" t="s">
        <v>34</v>
      </c>
      <c r="D20" s="13">
        <v>1.0</v>
      </c>
      <c r="E20" s="13">
        <v>2.0</v>
      </c>
      <c r="F20" s="13">
        <v>1.0</v>
      </c>
      <c r="G20" s="13">
        <v>2.0</v>
      </c>
      <c r="H20" s="13">
        <v>3.0</v>
      </c>
      <c r="I20" s="13">
        <v>1.0</v>
      </c>
      <c r="J20" s="13">
        <v>3.0</v>
      </c>
      <c r="K20" s="13">
        <v>3.0</v>
      </c>
      <c r="L20" s="13">
        <v>3.0</v>
      </c>
      <c r="M20" s="13">
        <v>1.0</v>
      </c>
      <c r="N20" s="13">
        <v>2.0</v>
      </c>
    </row>
    <row r="21">
      <c r="D21" s="13">
        <v>1.0</v>
      </c>
      <c r="E21" s="13">
        <v>2.0</v>
      </c>
      <c r="F21" s="13">
        <v>1.0</v>
      </c>
      <c r="G21" s="13">
        <v>2.0</v>
      </c>
      <c r="H21" s="13">
        <v>3.0</v>
      </c>
      <c r="I21" s="13">
        <v>1.0</v>
      </c>
      <c r="J21" s="13">
        <v>3.0</v>
      </c>
      <c r="K21" s="13">
        <v>3.0</v>
      </c>
      <c r="L21" s="13">
        <v>3.0</v>
      </c>
      <c r="M21" s="13">
        <v>1.0</v>
      </c>
      <c r="N21" s="13">
        <v>2.0</v>
      </c>
    </row>
    <row r="22">
      <c r="D22" s="13">
        <v>1.0</v>
      </c>
      <c r="E22" s="13">
        <v>2.0</v>
      </c>
      <c r="F22" s="13">
        <v>1.0</v>
      </c>
      <c r="G22" s="13">
        <v>2.0</v>
      </c>
      <c r="H22" s="13">
        <v>3.0</v>
      </c>
      <c r="I22" s="13">
        <v>1.0</v>
      </c>
      <c r="J22" s="13">
        <v>3.0</v>
      </c>
      <c r="K22" s="13">
        <v>3.0</v>
      </c>
      <c r="L22" s="13">
        <v>3.0</v>
      </c>
      <c r="M22" s="13">
        <v>1.0</v>
      </c>
      <c r="N22" s="13">
        <v>2.0</v>
      </c>
    </row>
    <row r="23">
      <c r="D23" s="13">
        <v>1.0</v>
      </c>
      <c r="E23" s="13">
        <v>2.0</v>
      </c>
      <c r="F23" s="13">
        <v>1.0</v>
      </c>
      <c r="G23" s="13">
        <v>2.0</v>
      </c>
      <c r="H23" s="13">
        <v>3.0</v>
      </c>
      <c r="I23" s="13">
        <v>1.0</v>
      </c>
      <c r="J23" s="13">
        <v>3.0</v>
      </c>
      <c r="K23" s="13">
        <v>3.0</v>
      </c>
      <c r="L23" s="13">
        <v>3.0</v>
      </c>
      <c r="M23" s="13">
        <v>1.0</v>
      </c>
      <c r="N23" s="13">
        <v>2.0</v>
      </c>
    </row>
    <row r="24">
      <c r="D24" s="13">
        <v>1.0</v>
      </c>
      <c r="E24" s="13">
        <v>2.0</v>
      </c>
      <c r="F24" s="13">
        <v>1.0</v>
      </c>
      <c r="G24" s="13">
        <v>2.0</v>
      </c>
      <c r="H24" s="13">
        <v>3.0</v>
      </c>
      <c r="I24" s="13">
        <v>1.0</v>
      </c>
      <c r="J24" s="13">
        <v>3.0</v>
      </c>
      <c r="K24" s="13">
        <v>3.0</v>
      </c>
      <c r="L24" s="13">
        <v>3.0</v>
      </c>
      <c r="M24" s="13">
        <v>1.0</v>
      </c>
      <c r="N24" s="13">
        <v>2.0</v>
      </c>
    </row>
    <row r="25">
      <c r="D25" s="13">
        <v>1.0</v>
      </c>
      <c r="E25" s="13">
        <v>2.0</v>
      </c>
      <c r="F25" s="13">
        <v>1.0</v>
      </c>
      <c r="G25" s="13">
        <v>2.0</v>
      </c>
      <c r="H25" s="13">
        <v>3.0</v>
      </c>
      <c r="I25" s="13">
        <v>1.0</v>
      </c>
      <c r="J25" s="13">
        <v>3.0</v>
      </c>
      <c r="K25" s="13">
        <v>3.0</v>
      </c>
      <c r="L25" s="13">
        <v>3.0</v>
      </c>
      <c r="M25" s="13">
        <v>1.0</v>
      </c>
      <c r="N25" s="13">
        <v>2.0</v>
      </c>
    </row>
    <row r="26">
      <c r="D26" s="13">
        <v>1.0</v>
      </c>
      <c r="E26" s="13">
        <v>2.0</v>
      </c>
      <c r="F26" s="13">
        <v>1.0</v>
      </c>
      <c r="G26" s="13">
        <v>2.0</v>
      </c>
      <c r="H26" s="13">
        <v>3.0</v>
      </c>
      <c r="I26" s="13">
        <v>1.0</v>
      </c>
      <c r="J26" s="13">
        <v>3.0</v>
      </c>
      <c r="K26" s="13">
        <v>3.0</v>
      </c>
      <c r="L26" s="13">
        <v>3.0</v>
      </c>
      <c r="M26" s="13">
        <v>1.0</v>
      </c>
      <c r="N26" s="13">
        <v>2.0</v>
      </c>
    </row>
  </sheetData>
  <dataValidations>
    <dataValidation type="list" allowBlank="1" sqref="D2:D8">
      <formula1>"True,False"</formula1>
    </dataValidation>
    <dataValidation type="custom" allowBlank="1" showDropDown="1" sqref="B2:C8 E2:N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6.88"/>
    <col customWidth="1" min="3" max="3" width="25.5"/>
    <col customWidth="1" min="4" max="4" width="17.13"/>
    <col customWidth="1" min="5" max="5" width="22.25"/>
    <col customWidth="1" min="6" max="6" width="17.0"/>
    <col customWidth="1" min="7" max="7" width="22.38"/>
    <col customWidth="1" min="8" max="8" width="26.13"/>
    <col customWidth="1" min="9" max="9" width="21.88"/>
    <col customWidth="1" min="10" max="10" width="26.63"/>
    <col customWidth="1" min="11" max="11" width="25.75"/>
    <col customWidth="1" min="12" max="12" width="16.13"/>
    <col customWidth="1" min="13" max="13" width="13.88"/>
    <col customWidth="1" min="14" max="14" width="22.75"/>
    <col customWidth="1" min="15" max="26" width="13.88"/>
  </cols>
  <sheetData>
    <row r="1" ht="22.5" customHeight="1">
      <c r="A1" s="1" t="s">
        <v>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7" t="s">
        <v>50</v>
      </c>
      <c r="B2" s="8">
        <f>C2/B20 * 100</f>
        <v>72.64150943</v>
      </c>
      <c r="C2" s="9">
        <f>IF(D2, 1, 0) + (E2 * E20) + (F2 * F20) + (G2 * G20) + (H2 * H20) + (I2 * I20) + (J2 * J20) + (K2 * K20) + (L2 * L20) + (M2 * M20) + (N2 * N20)</f>
        <v>77</v>
      </c>
      <c r="D2" s="10" t="b">
        <v>0</v>
      </c>
      <c r="E2" s="9">
        <v>0.0</v>
      </c>
      <c r="F2" s="9">
        <v>2.0</v>
      </c>
      <c r="G2" s="9">
        <v>4.0</v>
      </c>
      <c r="H2" s="9">
        <v>4.0</v>
      </c>
      <c r="I2" s="9">
        <v>3.0</v>
      </c>
      <c r="J2" s="9">
        <v>5.0</v>
      </c>
      <c r="K2" s="9">
        <v>5.0</v>
      </c>
      <c r="L2" s="9">
        <v>3.0</v>
      </c>
      <c r="M2" s="9">
        <v>3.0</v>
      </c>
      <c r="N2" s="9">
        <v>5.0</v>
      </c>
    </row>
    <row r="3" ht="22.5" customHeight="1">
      <c r="A3" s="7" t="s">
        <v>51</v>
      </c>
      <c r="B3" s="8">
        <f>C3/B20 * 100</f>
        <v>72.64150943</v>
      </c>
      <c r="C3" s="9">
        <f t="shared" ref="C3:C8" si="1">IF(D3, 1, 0) + (E3 * E20) + (F3 * F20) + (G3 * G20) + (H3 * H20) + (I3 * I20) + (J3 * J20) + (K3 * K20) + (L3 * L20) + (M3 * M20) + (N3 * N20)</f>
        <v>77</v>
      </c>
      <c r="D3" s="10" t="b">
        <v>1</v>
      </c>
      <c r="E3" s="9">
        <v>2.0</v>
      </c>
      <c r="F3" s="9">
        <v>1.0</v>
      </c>
      <c r="G3" s="9">
        <v>2.0</v>
      </c>
      <c r="H3" s="9">
        <v>5.0</v>
      </c>
      <c r="I3" s="9">
        <v>3.0</v>
      </c>
      <c r="J3" s="9">
        <v>5.0</v>
      </c>
      <c r="K3" s="9">
        <v>4.0</v>
      </c>
      <c r="L3" s="9">
        <v>3.0</v>
      </c>
      <c r="M3" s="9">
        <v>3.0</v>
      </c>
      <c r="N3" s="9">
        <v>5.0</v>
      </c>
    </row>
    <row r="4" ht="22.5" customHeight="1">
      <c r="A4" s="7" t="s">
        <v>52</v>
      </c>
      <c r="B4" s="8">
        <f>C4/B20 * 100</f>
        <v>68.86792453</v>
      </c>
      <c r="C4" s="9">
        <f t="shared" si="1"/>
        <v>73</v>
      </c>
      <c r="D4" s="10" t="b">
        <v>1</v>
      </c>
      <c r="E4" s="9">
        <v>2.0</v>
      </c>
      <c r="F4" s="9">
        <v>1.0</v>
      </c>
      <c r="G4" s="9">
        <v>2.0</v>
      </c>
      <c r="H4" s="9">
        <v>4.0</v>
      </c>
      <c r="I4" s="9">
        <v>5.0</v>
      </c>
      <c r="J4" s="9">
        <v>3.0</v>
      </c>
      <c r="K4" s="9">
        <v>5.0</v>
      </c>
      <c r="L4" s="9">
        <v>3.0</v>
      </c>
      <c r="M4" s="9">
        <v>3.0</v>
      </c>
      <c r="N4" s="9">
        <v>5.0</v>
      </c>
    </row>
    <row r="5" ht="22.5" customHeight="1">
      <c r="A5" s="7" t="s">
        <v>53</v>
      </c>
      <c r="B5" s="8">
        <f>C5/B20 * 100</f>
        <v>52.83018868</v>
      </c>
      <c r="C5" s="9">
        <f t="shared" si="1"/>
        <v>56</v>
      </c>
      <c r="D5" s="10" t="b">
        <v>1</v>
      </c>
      <c r="E5" s="9">
        <v>2.0</v>
      </c>
      <c r="F5" s="9">
        <v>1.0</v>
      </c>
      <c r="G5" s="9">
        <v>2.0</v>
      </c>
      <c r="H5" s="9">
        <v>2.0</v>
      </c>
      <c r="I5" s="9">
        <v>3.0</v>
      </c>
      <c r="J5" s="9">
        <v>3.0</v>
      </c>
      <c r="K5" s="9">
        <v>2.0</v>
      </c>
      <c r="L5" s="9">
        <v>3.0</v>
      </c>
      <c r="M5" s="9">
        <v>3.0</v>
      </c>
      <c r="N5" s="9">
        <v>5.0</v>
      </c>
    </row>
    <row r="6" ht="22.5" customHeight="1">
      <c r="A6" s="7" t="s">
        <v>54</v>
      </c>
      <c r="B6" s="8">
        <f>C6/B20 * 100</f>
        <v>66.98113208</v>
      </c>
      <c r="C6" s="9">
        <f t="shared" si="1"/>
        <v>71</v>
      </c>
      <c r="D6" s="10" t="b">
        <v>0</v>
      </c>
      <c r="E6" s="9">
        <v>0.0</v>
      </c>
      <c r="F6" s="9">
        <v>2.0</v>
      </c>
      <c r="G6" s="9">
        <v>3.0</v>
      </c>
      <c r="H6" s="9">
        <v>5.0</v>
      </c>
      <c r="I6" s="9">
        <v>5.0</v>
      </c>
      <c r="J6" s="9">
        <v>4.0</v>
      </c>
      <c r="K6" s="9">
        <v>3.0</v>
      </c>
      <c r="L6" s="9">
        <v>3.0</v>
      </c>
      <c r="M6" s="9">
        <v>3.0</v>
      </c>
      <c r="N6" s="9">
        <v>5.0</v>
      </c>
    </row>
    <row r="7" ht="22.5" customHeight="1">
      <c r="A7" s="7" t="s">
        <v>55</v>
      </c>
      <c r="B7" s="8">
        <f>C7/B20 * 100</f>
        <v>75.47169811</v>
      </c>
      <c r="C7" s="9">
        <f t="shared" si="1"/>
        <v>80</v>
      </c>
      <c r="D7" s="10" t="b">
        <v>1</v>
      </c>
      <c r="E7" s="9">
        <v>2.0</v>
      </c>
      <c r="F7" s="9">
        <v>2.0</v>
      </c>
      <c r="G7" s="9">
        <v>2.0</v>
      </c>
      <c r="H7" s="9">
        <v>5.0</v>
      </c>
      <c r="I7" s="9">
        <v>5.0</v>
      </c>
      <c r="J7" s="9">
        <v>4.0</v>
      </c>
      <c r="K7" s="9">
        <v>5.0</v>
      </c>
      <c r="L7" s="9">
        <v>3.0</v>
      </c>
      <c r="M7" s="9">
        <v>3.0</v>
      </c>
      <c r="N7" s="9">
        <v>5.0</v>
      </c>
    </row>
    <row r="8" ht="22.5" customHeight="1">
      <c r="A8" s="7" t="s">
        <v>56</v>
      </c>
      <c r="B8" s="8">
        <f>C8/B20 * 100</f>
        <v>57.54716981</v>
      </c>
      <c r="C8" s="9">
        <f t="shared" si="1"/>
        <v>61</v>
      </c>
      <c r="D8" s="10" t="b">
        <v>1</v>
      </c>
      <c r="E8" s="9">
        <v>2.0</v>
      </c>
      <c r="F8" s="9">
        <v>2.0</v>
      </c>
      <c r="G8" s="9">
        <v>2.0</v>
      </c>
      <c r="H8" s="9">
        <v>2.0</v>
      </c>
      <c r="I8" s="9">
        <v>4.0</v>
      </c>
      <c r="J8" s="9">
        <v>3.0</v>
      </c>
      <c r="K8" s="9">
        <v>3.0</v>
      </c>
      <c r="L8" s="9">
        <v>3.0</v>
      </c>
      <c r="M8" s="9">
        <v>3.0</v>
      </c>
      <c r="N8" s="9">
        <v>5.0</v>
      </c>
    </row>
    <row r="9" ht="22.5" customHeight="1">
      <c r="A9" s="3" t="s">
        <v>32</v>
      </c>
      <c r="B9" s="4">
        <f>MEDIAN(Tabela_3[Nota Final (%)])</f>
        <v>68.86792453</v>
      </c>
      <c r="C9" s="5">
        <f>MEDIAN(Tabela_3[Pontos Totais (max 106)])</f>
        <v>73</v>
      </c>
      <c r="D9" s="3"/>
      <c r="E9" s="4">
        <f>AVERAGE(Tabela_3[Qualidade Áudio])</f>
        <v>1.428571429</v>
      </c>
      <c r="F9" s="4">
        <f>AVERAGE(Tabela_3[Resolução])</f>
        <v>1.571428571</v>
      </c>
      <c r="G9" s="4">
        <f>AVERAGE(Tabela_3[Qualidade Visual])</f>
        <v>2.428571429</v>
      </c>
      <c r="H9" s="4">
        <f>AVERAGE(Tabela_3[Permanência Objetos])</f>
        <v>3.857142857</v>
      </c>
      <c r="I9" s="4">
        <f>AVERAGE(Tabela_3[Enquadramento])</f>
        <v>4</v>
      </c>
      <c r="J9" s="4">
        <f>AVERAGE(Tabela_3[Estabilidade Temporal])</f>
        <v>3.857142857</v>
      </c>
      <c r="K9" s="4">
        <f>AVERAGE(Tabela_3[Alinhamento Prompt])</f>
        <v>3.857142857</v>
      </c>
      <c r="L9" s="5">
        <f>AVERAGE(Tabela_3[Utilidade])</f>
        <v>3</v>
      </c>
      <c r="M9" s="4">
        <f>AVERAGE(Tabela_3[Loop])</f>
        <v>3</v>
      </c>
      <c r="N9" s="5">
        <f>AVERAGE(Tabela_3[Tamanho Prompt])</f>
        <v>5</v>
      </c>
    </row>
    <row r="20">
      <c r="A20" s="11" t="s">
        <v>33</v>
      </c>
      <c r="B20" s="12">
        <f> 1 + (5 * E20) + (5 * F20) + (5 * G20) + (5 * H20) + (5 * I20) + (5 * J20) + (5 * K20) + (5* L20) + (5* M20) + (5* N20)</f>
        <v>106</v>
      </c>
      <c r="C20" s="11" t="s">
        <v>34</v>
      </c>
      <c r="D20" s="13">
        <v>1.0</v>
      </c>
      <c r="E20" s="13">
        <v>2.0</v>
      </c>
      <c r="F20" s="13">
        <v>1.0</v>
      </c>
      <c r="G20" s="13">
        <v>2.0</v>
      </c>
      <c r="H20" s="13">
        <v>3.0</v>
      </c>
      <c r="I20" s="13">
        <v>1.0</v>
      </c>
      <c r="J20" s="13">
        <v>3.0</v>
      </c>
      <c r="K20" s="13">
        <v>3.0</v>
      </c>
      <c r="L20" s="13">
        <v>3.0</v>
      </c>
      <c r="M20" s="13">
        <v>1.0</v>
      </c>
      <c r="N20" s="13">
        <v>2.0</v>
      </c>
    </row>
    <row r="21">
      <c r="D21" s="13">
        <v>1.0</v>
      </c>
      <c r="E21" s="13">
        <v>2.0</v>
      </c>
      <c r="F21" s="13">
        <v>1.0</v>
      </c>
      <c r="G21" s="13">
        <v>2.0</v>
      </c>
      <c r="H21" s="13">
        <v>3.0</v>
      </c>
      <c r="I21" s="13">
        <v>1.0</v>
      </c>
      <c r="J21" s="13">
        <v>3.0</v>
      </c>
      <c r="K21" s="13">
        <v>3.0</v>
      </c>
      <c r="L21" s="13">
        <v>3.0</v>
      </c>
      <c r="M21" s="13">
        <v>1.0</v>
      </c>
      <c r="N21" s="13">
        <v>2.0</v>
      </c>
    </row>
    <row r="22">
      <c r="D22" s="13">
        <v>1.0</v>
      </c>
      <c r="E22" s="13">
        <v>2.0</v>
      </c>
      <c r="F22" s="13">
        <v>1.0</v>
      </c>
      <c r="G22" s="13">
        <v>2.0</v>
      </c>
      <c r="H22" s="13">
        <v>3.0</v>
      </c>
      <c r="I22" s="13">
        <v>1.0</v>
      </c>
      <c r="J22" s="13">
        <v>3.0</v>
      </c>
      <c r="K22" s="13">
        <v>3.0</v>
      </c>
      <c r="L22" s="13">
        <v>3.0</v>
      </c>
      <c r="M22" s="13">
        <v>1.0</v>
      </c>
      <c r="N22" s="13">
        <v>2.0</v>
      </c>
    </row>
    <row r="23">
      <c r="D23" s="13">
        <v>1.0</v>
      </c>
      <c r="E23" s="13">
        <v>2.0</v>
      </c>
      <c r="F23" s="13">
        <v>1.0</v>
      </c>
      <c r="G23" s="13">
        <v>2.0</v>
      </c>
      <c r="H23" s="13">
        <v>3.0</v>
      </c>
      <c r="I23" s="13">
        <v>1.0</v>
      </c>
      <c r="J23" s="13">
        <v>3.0</v>
      </c>
      <c r="K23" s="13">
        <v>3.0</v>
      </c>
      <c r="L23" s="13">
        <v>3.0</v>
      </c>
      <c r="M23" s="13">
        <v>1.0</v>
      </c>
      <c r="N23" s="13">
        <v>2.0</v>
      </c>
    </row>
    <row r="24">
      <c r="D24" s="13">
        <v>1.0</v>
      </c>
      <c r="E24" s="13">
        <v>2.0</v>
      </c>
      <c r="F24" s="13">
        <v>1.0</v>
      </c>
      <c r="G24" s="13">
        <v>2.0</v>
      </c>
      <c r="H24" s="13">
        <v>3.0</v>
      </c>
      <c r="I24" s="13">
        <v>1.0</v>
      </c>
      <c r="J24" s="13">
        <v>3.0</v>
      </c>
      <c r="K24" s="13">
        <v>3.0</v>
      </c>
      <c r="L24" s="13">
        <v>3.0</v>
      </c>
      <c r="M24" s="13">
        <v>1.0</v>
      </c>
      <c r="N24" s="13">
        <v>2.0</v>
      </c>
    </row>
    <row r="25">
      <c r="D25" s="13">
        <v>1.0</v>
      </c>
      <c r="E25" s="13">
        <v>2.0</v>
      </c>
      <c r="F25" s="13">
        <v>1.0</v>
      </c>
      <c r="G25" s="13">
        <v>2.0</v>
      </c>
      <c r="H25" s="13">
        <v>3.0</v>
      </c>
      <c r="I25" s="13">
        <v>1.0</v>
      </c>
      <c r="J25" s="13">
        <v>3.0</v>
      </c>
      <c r="K25" s="13">
        <v>3.0</v>
      </c>
      <c r="L25" s="13">
        <v>3.0</v>
      </c>
      <c r="M25" s="13">
        <v>1.0</v>
      </c>
      <c r="N25" s="13">
        <v>2.0</v>
      </c>
    </row>
    <row r="26">
      <c r="D26" s="13">
        <v>1.0</v>
      </c>
      <c r="E26" s="13">
        <v>2.0</v>
      </c>
      <c r="F26" s="13">
        <v>1.0</v>
      </c>
      <c r="G26" s="13">
        <v>2.0</v>
      </c>
      <c r="H26" s="13">
        <v>3.0</v>
      </c>
      <c r="I26" s="13">
        <v>1.0</v>
      </c>
      <c r="J26" s="13">
        <v>3.0</v>
      </c>
      <c r="K26" s="13">
        <v>3.0</v>
      </c>
      <c r="L26" s="13">
        <v>3.0</v>
      </c>
      <c r="M26" s="13">
        <v>1.0</v>
      </c>
      <c r="N26" s="13">
        <v>2.0</v>
      </c>
    </row>
  </sheetData>
  <dataValidations>
    <dataValidation type="list" allowBlank="1" sqref="D2:D8">
      <formula1>"True,False"</formula1>
    </dataValidation>
    <dataValidation type="custom" allowBlank="1" showDropDown="1" sqref="B2:C8 E2:N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6.88"/>
    <col customWidth="1" min="3" max="3" width="25.5"/>
    <col customWidth="1" min="4" max="4" width="17.13"/>
    <col customWidth="1" min="5" max="5" width="22.25"/>
    <col customWidth="1" min="6" max="6" width="17.0"/>
    <col customWidth="1" min="7" max="7" width="22.38"/>
    <col customWidth="1" min="8" max="8" width="26.13"/>
    <col customWidth="1" min="9" max="9" width="21.88"/>
    <col customWidth="1" min="10" max="10" width="26.63"/>
    <col customWidth="1" min="11" max="11" width="25.75"/>
    <col customWidth="1" min="12" max="12" width="16.13"/>
    <col customWidth="1" min="13" max="13" width="13.88"/>
    <col customWidth="1" min="14" max="14" width="22.75"/>
    <col customWidth="1" min="15" max="26" width="13.88"/>
  </cols>
  <sheetData>
    <row r="1" ht="22.5" customHeight="1">
      <c r="A1" s="1" t="s">
        <v>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7" t="s">
        <v>57</v>
      </c>
      <c r="B2" s="8">
        <f>C2/B21 * 100</f>
        <v>85.8490566</v>
      </c>
      <c r="C2" s="9">
        <f>IF(D2, 1, 0) + (E2 * E21) + (F2 * F21) + (G2 * G21) + (H2 * H21) + (I2 * I21) + (J2 * J21) + (K2 * K21) + (L2 * L21) + (M2 * M21) + (N2 * N21)</f>
        <v>91</v>
      </c>
      <c r="D2" s="10" t="b">
        <v>1</v>
      </c>
      <c r="E2" s="9">
        <v>3.0</v>
      </c>
      <c r="F2" s="9">
        <v>2.0</v>
      </c>
      <c r="G2" s="9">
        <v>4.0</v>
      </c>
      <c r="H2" s="9">
        <v>5.0</v>
      </c>
      <c r="I2" s="9">
        <v>5.0</v>
      </c>
      <c r="J2" s="9">
        <v>5.0</v>
      </c>
      <c r="K2" s="9">
        <v>5.0</v>
      </c>
      <c r="L2" s="9">
        <v>5.0</v>
      </c>
      <c r="M2" s="9">
        <v>3.0</v>
      </c>
      <c r="N2" s="9">
        <v>3.0</v>
      </c>
    </row>
    <row r="3" ht="22.5" customHeight="1">
      <c r="A3" s="7" t="s">
        <v>58</v>
      </c>
      <c r="B3" s="8">
        <f>C3/B21 * 100</f>
        <v>68.86792453</v>
      </c>
      <c r="C3" s="9">
        <f t="shared" ref="C3:C9" si="1">IF(D3, 1, 0) + (E3 * E21) + (F3 * F21) + (G3 * G21) + (H3 * H21) + (I3 * I21) + (J3 * J21) + (K3 * K21) + (L3 * L21) + (M3 * M21) + (N3 * N21)</f>
        <v>73</v>
      </c>
      <c r="D3" s="10" t="b">
        <v>1</v>
      </c>
      <c r="E3" s="9">
        <v>3.0</v>
      </c>
      <c r="F3" s="9">
        <v>3.0</v>
      </c>
      <c r="G3" s="9">
        <v>4.0</v>
      </c>
      <c r="H3" s="9">
        <v>3.0</v>
      </c>
      <c r="I3" s="9">
        <v>4.0</v>
      </c>
      <c r="J3" s="9">
        <v>3.0</v>
      </c>
      <c r="K3" s="9">
        <v>3.0</v>
      </c>
      <c r="L3" s="9">
        <v>5.0</v>
      </c>
      <c r="M3" s="9">
        <v>3.0</v>
      </c>
      <c r="N3" s="9">
        <v>3.0</v>
      </c>
    </row>
    <row r="4" ht="22.5" customHeight="1">
      <c r="A4" s="7" t="s">
        <v>59</v>
      </c>
      <c r="B4" s="8">
        <f>C4/B21 * 100</f>
        <v>87.73584906</v>
      </c>
      <c r="C4" s="9">
        <f t="shared" si="1"/>
        <v>93</v>
      </c>
      <c r="D4" s="10" t="b">
        <v>1</v>
      </c>
      <c r="E4" s="9">
        <v>3.0</v>
      </c>
      <c r="F4" s="9">
        <v>2.0</v>
      </c>
      <c r="G4" s="9">
        <v>5.0</v>
      </c>
      <c r="H4" s="9">
        <v>5.0</v>
      </c>
      <c r="I4" s="9">
        <v>5.0</v>
      </c>
      <c r="J4" s="9">
        <v>5.0</v>
      </c>
      <c r="K4" s="9">
        <v>5.0</v>
      </c>
      <c r="L4" s="9">
        <v>5.0</v>
      </c>
      <c r="M4" s="9">
        <v>3.0</v>
      </c>
      <c r="N4" s="9">
        <v>3.0</v>
      </c>
    </row>
    <row r="5" ht="22.5" customHeight="1">
      <c r="A5" s="7" t="s">
        <v>60</v>
      </c>
      <c r="B5" s="8">
        <f>C5/B21 * 100</f>
        <v>61.32075472</v>
      </c>
      <c r="C5" s="9">
        <f t="shared" si="1"/>
        <v>65</v>
      </c>
      <c r="D5" s="10" t="b">
        <v>1</v>
      </c>
      <c r="E5" s="9">
        <v>3.0</v>
      </c>
      <c r="F5" s="9">
        <v>2.0</v>
      </c>
      <c r="G5" s="9">
        <v>4.0</v>
      </c>
      <c r="H5" s="9">
        <v>2.0</v>
      </c>
      <c r="I5" s="9">
        <v>3.0</v>
      </c>
      <c r="J5" s="9">
        <v>3.0</v>
      </c>
      <c r="K5" s="9">
        <v>2.0</v>
      </c>
      <c r="L5" s="9">
        <v>5.0</v>
      </c>
      <c r="M5" s="9">
        <v>3.0</v>
      </c>
      <c r="N5" s="9">
        <v>3.0</v>
      </c>
    </row>
    <row r="6" ht="22.5" customHeight="1">
      <c r="A6" s="7" t="s">
        <v>61</v>
      </c>
      <c r="B6" s="8">
        <f>C6/B21 * 100</f>
        <v>80.18867925</v>
      </c>
      <c r="C6" s="9">
        <f t="shared" si="1"/>
        <v>85</v>
      </c>
      <c r="D6" s="10" t="b">
        <v>1</v>
      </c>
      <c r="E6" s="9">
        <v>2.0</v>
      </c>
      <c r="F6" s="9">
        <v>4.0</v>
      </c>
      <c r="G6" s="9">
        <v>4.0</v>
      </c>
      <c r="H6" s="9">
        <v>5.0</v>
      </c>
      <c r="I6" s="9">
        <v>5.0</v>
      </c>
      <c r="J6" s="9">
        <v>4.0</v>
      </c>
      <c r="K6" s="9">
        <v>4.0</v>
      </c>
      <c r="L6" s="9">
        <v>5.0</v>
      </c>
      <c r="M6" s="9">
        <v>3.0</v>
      </c>
      <c r="N6" s="9">
        <v>3.0</v>
      </c>
    </row>
    <row r="7" ht="22.5" customHeight="1">
      <c r="A7" s="7" t="s">
        <v>62</v>
      </c>
      <c r="B7" s="8">
        <f>C7/B21 * 100</f>
        <v>76.41509434</v>
      </c>
      <c r="C7" s="9">
        <f t="shared" si="1"/>
        <v>81</v>
      </c>
      <c r="D7" s="10" t="b">
        <v>1</v>
      </c>
      <c r="E7" s="9">
        <v>3.0</v>
      </c>
      <c r="F7" s="9">
        <v>4.0</v>
      </c>
      <c r="G7" s="9">
        <v>4.0</v>
      </c>
      <c r="H7" s="9">
        <v>2.0</v>
      </c>
      <c r="I7" s="9">
        <v>5.0</v>
      </c>
      <c r="J7" s="9">
        <v>4.0</v>
      </c>
      <c r="K7" s="9">
        <v>5.0</v>
      </c>
      <c r="L7" s="9">
        <v>5.0</v>
      </c>
      <c r="M7" s="9">
        <v>3.0</v>
      </c>
      <c r="N7" s="9">
        <v>3.0</v>
      </c>
    </row>
    <row r="8" ht="22.5" customHeight="1">
      <c r="A8" s="7" t="s">
        <v>63</v>
      </c>
      <c r="B8" s="8">
        <f>C8/B21 * 100</f>
        <v>72.64150943</v>
      </c>
      <c r="C8" s="9">
        <f t="shared" si="1"/>
        <v>77</v>
      </c>
      <c r="D8" s="10" t="b">
        <v>1</v>
      </c>
      <c r="E8" s="9">
        <v>4.0</v>
      </c>
      <c r="F8" s="9">
        <v>4.0</v>
      </c>
      <c r="G8" s="9">
        <v>4.0</v>
      </c>
      <c r="H8" s="9">
        <v>2.0</v>
      </c>
      <c r="I8" s="9">
        <v>5.0</v>
      </c>
      <c r="J8" s="9">
        <v>4.0</v>
      </c>
      <c r="K8" s="9">
        <v>3.0</v>
      </c>
      <c r="L8" s="9">
        <v>5.0</v>
      </c>
      <c r="M8" s="9">
        <v>3.0</v>
      </c>
      <c r="N8" s="9">
        <v>3.0</v>
      </c>
    </row>
    <row r="9" ht="22.5" customHeight="1">
      <c r="A9" s="7" t="s">
        <v>64</v>
      </c>
      <c r="B9" s="8">
        <f>C9/B21 * 100</f>
        <v>78.30188679</v>
      </c>
      <c r="C9" s="9">
        <f t="shared" si="1"/>
        <v>83</v>
      </c>
      <c r="D9" s="10" t="b">
        <v>1</v>
      </c>
      <c r="E9" s="9">
        <v>3.0</v>
      </c>
      <c r="F9" s="9">
        <v>4.0</v>
      </c>
      <c r="G9" s="9">
        <v>2.0</v>
      </c>
      <c r="H9" s="9">
        <v>5.0</v>
      </c>
      <c r="I9" s="9">
        <v>5.0</v>
      </c>
      <c r="J9" s="9">
        <v>3.0</v>
      </c>
      <c r="K9" s="9">
        <v>5.0</v>
      </c>
      <c r="L9" s="9">
        <v>5.0</v>
      </c>
      <c r="M9" s="9">
        <v>3.0</v>
      </c>
      <c r="N9" s="9">
        <v>3.0</v>
      </c>
    </row>
    <row r="10" ht="22.5" customHeight="1">
      <c r="A10" s="3" t="s">
        <v>32</v>
      </c>
      <c r="B10" s="4">
        <f>MEDIAN(Tabela_4[Nota Final (%)])</f>
        <v>77.35849057</v>
      </c>
      <c r="C10" s="5">
        <f>MEDIAN(Tabela_4[Pontos Totais (max 106)])</f>
        <v>82</v>
      </c>
      <c r="D10" s="3"/>
      <c r="E10" s="4">
        <f>AVERAGE(Tabela_4[Qualidade Áudio])</f>
        <v>3</v>
      </c>
      <c r="F10" s="4">
        <f>AVERAGE(Tabela_4[Resolução])</f>
        <v>3.125</v>
      </c>
      <c r="G10" s="4">
        <f>AVERAGE(Tabela_4[Qualidade Visual])</f>
        <v>3.875</v>
      </c>
      <c r="H10" s="4">
        <f>AVERAGE(Tabela_4[Permanência Objetos])</f>
        <v>3.625</v>
      </c>
      <c r="I10" s="4">
        <f>AVERAGE(Tabela_4[Enquadramento])</f>
        <v>4.625</v>
      </c>
      <c r="J10" s="4">
        <f>AVERAGE(Tabela_4[Estabilidade Temporal])</f>
        <v>3.875</v>
      </c>
      <c r="K10" s="4">
        <f>AVERAGE(Tabela_4[Alinhamento Prompt])</f>
        <v>4</v>
      </c>
      <c r="L10" s="5">
        <f>AVERAGE(Tabela_4[Utilidade])</f>
        <v>5</v>
      </c>
      <c r="M10" s="4">
        <f>AVERAGE(Tabela_4[Loop])</f>
        <v>3</v>
      </c>
      <c r="N10" s="5">
        <f>AVERAGE(Tabela_4[Tamanho Prompt])</f>
        <v>3</v>
      </c>
    </row>
    <row r="21">
      <c r="A21" s="11" t="s">
        <v>33</v>
      </c>
      <c r="B21" s="12">
        <f> 1 + (5 * E21) + (5 * F21) + (5 * G21) + (5 * H21) + (5 * I21) + (5 * J21) + (5 * K21) + (5* L21) + (5* M21) + (5* N21)</f>
        <v>106</v>
      </c>
      <c r="C21" s="11" t="s">
        <v>34</v>
      </c>
      <c r="D21" s="13">
        <v>1.0</v>
      </c>
      <c r="E21" s="13">
        <v>2.0</v>
      </c>
      <c r="F21" s="13">
        <v>1.0</v>
      </c>
      <c r="G21" s="13">
        <v>2.0</v>
      </c>
      <c r="H21" s="13">
        <v>3.0</v>
      </c>
      <c r="I21" s="13">
        <v>1.0</v>
      </c>
      <c r="J21" s="13">
        <v>3.0</v>
      </c>
      <c r="K21" s="13">
        <v>3.0</v>
      </c>
      <c r="L21" s="13">
        <v>3.0</v>
      </c>
      <c r="M21" s="13">
        <v>1.0</v>
      </c>
      <c r="N21" s="13">
        <v>2.0</v>
      </c>
    </row>
    <row r="22">
      <c r="D22" s="13">
        <v>1.0</v>
      </c>
      <c r="E22" s="13">
        <v>2.0</v>
      </c>
      <c r="F22" s="13">
        <v>1.0</v>
      </c>
      <c r="G22" s="13">
        <v>2.0</v>
      </c>
      <c r="H22" s="13">
        <v>3.0</v>
      </c>
      <c r="I22" s="13">
        <v>1.0</v>
      </c>
      <c r="J22" s="13">
        <v>3.0</v>
      </c>
      <c r="K22" s="13">
        <v>3.0</v>
      </c>
      <c r="L22" s="13">
        <v>3.0</v>
      </c>
      <c r="M22" s="13">
        <v>1.0</v>
      </c>
      <c r="N22" s="13">
        <v>2.0</v>
      </c>
    </row>
    <row r="23">
      <c r="D23" s="13">
        <v>1.0</v>
      </c>
      <c r="E23" s="13">
        <v>2.0</v>
      </c>
      <c r="F23" s="13">
        <v>1.0</v>
      </c>
      <c r="G23" s="13">
        <v>2.0</v>
      </c>
      <c r="H23" s="13">
        <v>3.0</v>
      </c>
      <c r="I23" s="13">
        <v>1.0</v>
      </c>
      <c r="J23" s="13">
        <v>3.0</v>
      </c>
      <c r="K23" s="13">
        <v>3.0</v>
      </c>
      <c r="L23" s="13">
        <v>3.0</v>
      </c>
      <c r="M23" s="13">
        <v>1.0</v>
      </c>
      <c r="N23" s="13">
        <v>2.0</v>
      </c>
    </row>
    <row r="24">
      <c r="D24" s="13">
        <v>1.0</v>
      </c>
      <c r="E24" s="13">
        <v>2.0</v>
      </c>
      <c r="F24" s="13">
        <v>1.0</v>
      </c>
      <c r="G24" s="13">
        <v>2.0</v>
      </c>
      <c r="H24" s="13">
        <v>3.0</v>
      </c>
      <c r="I24" s="13">
        <v>1.0</v>
      </c>
      <c r="J24" s="13">
        <v>3.0</v>
      </c>
      <c r="K24" s="13">
        <v>3.0</v>
      </c>
      <c r="L24" s="13">
        <v>3.0</v>
      </c>
      <c r="M24" s="13">
        <v>1.0</v>
      </c>
      <c r="N24" s="13">
        <v>2.0</v>
      </c>
    </row>
    <row r="25">
      <c r="D25" s="13">
        <v>1.0</v>
      </c>
      <c r="E25" s="13">
        <v>2.0</v>
      </c>
      <c r="F25" s="13">
        <v>1.0</v>
      </c>
      <c r="G25" s="13">
        <v>2.0</v>
      </c>
      <c r="H25" s="13">
        <v>3.0</v>
      </c>
      <c r="I25" s="13">
        <v>1.0</v>
      </c>
      <c r="J25" s="13">
        <v>3.0</v>
      </c>
      <c r="K25" s="13">
        <v>3.0</v>
      </c>
      <c r="L25" s="13">
        <v>3.0</v>
      </c>
      <c r="M25" s="13">
        <v>1.0</v>
      </c>
      <c r="N25" s="13">
        <v>2.0</v>
      </c>
    </row>
    <row r="26">
      <c r="D26" s="13">
        <v>1.0</v>
      </c>
      <c r="E26" s="13">
        <v>2.0</v>
      </c>
      <c r="F26" s="13">
        <v>1.0</v>
      </c>
      <c r="G26" s="13">
        <v>2.0</v>
      </c>
      <c r="H26" s="13">
        <v>3.0</v>
      </c>
      <c r="I26" s="13">
        <v>1.0</v>
      </c>
      <c r="J26" s="13">
        <v>3.0</v>
      </c>
      <c r="K26" s="13">
        <v>3.0</v>
      </c>
      <c r="L26" s="13">
        <v>3.0</v>
      </c>
      <c r="M26" s="13">
        <v>1.0</v>
      </c>
      <c r="N26" s="13">
        <v>2.0</v>
      </c>
    </row>
    <row r="27">
      <c r="D27" s="13">
        <v>1.0</v>
      </c>
      <c r="E27" s="13">
        <v>2.0</v>
      </c>
      <c r="F27" s="13">
        <v>1.0</v>
      </c>
      <c r="G27" s="13">
        <v>2.0</v>
      </c>
      <c r="H27" s="13">
        <v>3.0</v>
      </c>
      <c r="I27" s="13">
        <v>1.0</v>
      </c>
      <c r="J27" s="13">
        <v>3.0</v>
      </c>
      <c r="K27" s="13">
        <v>3.0</v>
      </c>
      <c r="L27" s="13">
        <v>3.0</v>
      </c>
      <c r="M27" s="13">
        <v>1.0</v>
      </c>
      <c r="N27" s="13">
        <v>2.0</v>
      </c>
    </row>
  </sheetData>
  <dataValidations>
    <dataValidation type="list" allowBlank="1" sqref="D2:D9">
      <formula1>"True,False"</formula1>
    </dataValidation>
    <dataValidation type="custom" allowBlank="1" showDropDown="1" sqref="B2:C9 E2:N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6.88"/>
    <col customWidth="1" min="3" max="3" width="25.5"/>
    <col customWidth="1" min="4" max="4" width="17.13"/>
    <col customWidth="1" min="5" max="5" width="22.25"/>
    <col customWidth="1" min="6" max="6" width="17.0"/>
    <col customWidth="1" min="7" max="7" width="22.38"/>
    <col customWidth="1" min="8" max="8" width="26.13"/>
    <col customWidth="1" min="9" max="9" width="21.88"/>
    <col customWidth="1" min="10" max="10" width="26.63"/>
    <col customWidth="1" min="11" max="11" width="25.75"/>
    <col customWidth="1" min="12" max="12" width="16.13"/>
    <col customWidth="1" min="13" max="13" width="13.88"/>
    <col customWidth="1" min="14" max="14" width="22.75"/>
    <col customWidth="1" min="15" max="26" width="13.88"/>
  </cols>
  <sheetData>
    <row r="1" ht="22.5" customHeight="1">
      <c r="A1" s="1" t="s">
        <v>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7" t="s">
        <v>65</v>
      </c>
      <c r="B2" s="8">
        <f>C2/B20 * 100</f>
        <v>53.77358491</v>
      </c>
      <c r="C2" s="9">
        <f>IF(D2, 1, 0) + (E2 * E20) + (F2 * F20) + (G2 * G20) + (H2 * H20) + (I2 * I20) + (J2 * J20) + (K2 * K20) + (L2 * L20) + (M2 * M20) + (N2 * N20)</f>
        <v>57</v>
      </c>
      <c r="D2" s="10" t="b">
        <v>0</v>
      </c>
      <c r="E2" s="9">
        <v>0.0</v>
      </c>
      <c r="F2" s="14">
        <v>4.0</v>
      </c>
      <c r="G2" s="14">
        <v>3.0</v>
      </c>
      <c r="H2" s="14">
        <v>2.0</v>
      </c>
      <c r="I2" s="14">
        <v>5.0</v>
      </c>
      <c r="J2" s="14">
        <v>3.0</v>
      </c>
      <c r="K2" s="14">
        <v>3.0</v>
      </c>
      <c r="L2" s="14">
        <v>3.0</v>
      </c>
      <c r="M2" s="14">
        <v>3.0</v>
      </c>
      <c r="N2" s="14">
        <v>3.0</v>
      </c>
    </row>
    <row r="3" ht="22.5" customHeight="1">
      <c r="A3" s="7" t="s">
        <v>66</v>
      </c>
      <c r="B3" s="8">
        <f>C3/B20 * 100</f>
        <v>53.77358491</v>
      </c>
      <c r="C3" s="9">
        <f t="shared" ref="C3:C8" si="1">IF(D3, 1, 0) + (E3 * E20) + (F3 * F20) + (G3 * G20) + (H3 * H20) + (I3 * I20) + (J3 * J20) + (K3 * K20) + (L3 * L20) + (M3 * M20) + (N3 * N20)</f>
        <v>57</v>
      </c>
      <c r="D3" s="10" t="b">
        <v>0</v>
      </c>
      <c r="E3" s="9">
        <v>0.0</v>
      </c>
      <c r="F3" s="14">
        <v>2.0</v>
      </c>
      <c r="G3" s="14">
        <v>3.0</v>
      </c>
      <c r="H3" s="14">
        <v>2.0</v>
      </c>
      <c r="I3" s="14">
        <v>4.0</v>
      </c>
      <c r="J3" s="14">
        <v>3.0</v>
      </c>
      <c r="K3" s="14">
        <v>4.0</v>
      </c>
      <c r="L3" s="14">
        <v>3.0</v>
      </c>
      <c r="M3" s="14">
        <v>3.0</v>
      </c>
      <c r="N3" s="14">
        <v>3.0</v>
      </c>
    </row>
    <row r="4" ht="22.5" customHeight="1">
      <c r="A4" s="7" t="s">
        <v>67</v>
      </c>
      <c r="B4" s="8">
        <f>C4/B20 * 100</f>
        <v>45.28301887</v>
      </c>
      <c r="C4" s="9">
        <f t="shared" si="1"/>
        <v>48</v>
      </c>
      <c r="D4" s="10" t="b">
        <v>0</v>
      </c>
      <c r="E4" s="9">
        <v>0.0</v>
      </c>
      <c r="F4" s="14">
        <v>2.0</v>
      </c>
      <c r="G4" s="14">
        <v>2.0</v>
      </c>
      <c r="H4" s="14">
        <v>2.0</v>
      </c>
      <c r="I4" s="14">
        <v>3.0</v>
      </c>
      <c r="J4" s="14">
        <v>3.0</v>
      </c>
      <c r="K4" s="14">
        <v>2.0</v>
      </c>
      <c r="L4" s="14">
        <v>3.0</v>
      </c>
      <c r="M4" s="14">
        <v>3.0</v>
      </c>
      <c r="N4" s="14">
        <v>3.0</v>
      </c>
    </row>
    <row r="5" ht="22.5" customHeight="1">
      <c r="A5" s="7" t="s">
        <v>68</v>
      </c>
      <c r="B5" s="8">
        <f>C5/B20 * 100</f>
        <v>46.22641509</v>
      </c>
      <c r="C5" s="9">
        <f t="shared" si="1"/>
        <v>49</v>
      </c>
      <c r="D5" s="10" t="b">
        <v>0</v>
      </c>
      <c r="E5" s="9">
        <v>0.0</v>
      </c>
      <c r="F5" s="14">
        <v>2.0</v>
      </c>
      <c r="G5" s="14">
        <v>2.0</v>
      </c>
      <c r="H5" s="14">
        <v>2.0</v>
      </c>
      <c r="I5" s="14">
        <v>4.0</v>
      </c>
      <c r="J5" s="14">
        <v>3.0</v>
      </c>
      <c r="K5" s="14">
        <v>2.0</v>
      </c>
      <c r="L5" s="14">
        <v>3.0</v>
      </c>
      <c r="M5" s="14">
        <v>3.0</v>
      </c>
      <c r="N5" s="14">
        <v>3.0</v>
      </c>
    </row>
    <row r="6" ht="22.5" customHeight="1">
      <c r="A6" s="7" t="s">
        <v>69</v>
      </c>
      <c r="B6" s="8">
        <f>C6/B20 * 100</f>
        <v>52.83018868</v>
      </c>
      <c r="C6" s="9">
        <f t="shared" si="1"/>
        <v>56</v>
      </c>
      <c r="D6" s="10" t="b">
        <v>0</v>
      </c>
      <c r="E6" s="9">
        <v>0.0</v>
      </c>
      <c r="F6" s="14">
        <v>3.0</v>
      </c>
      <c r="G6" s="14">
        <v>2.0</v>
      </c>
      <c r="H6" s="14">
        <v>2.0</v>
      </c>
      <c r="I6" s="14">
        <v>4.0</v>
      </c>
      <c r="J6" s="14">
        <v>3.0</v>
      </c>
      <c r="K6" s="14">
        <v>4.0</v>
      </c>
      <c r="L6" s="14">
        <v>3.0</v>
      </c>
      <c r="M6" s="14">
        <v>3.0</v>
      </c>
      <c r="N6" s="14">
        <v>3.0</v>
      </c>
    </row>
    <row r="7" ht="22.5" customHeight="1">
      <c r="A7" s="7" t="s">
        <v>70</v>
      </c>
      <c r="B7" s="8">
        <f>C7/B20 * 100</f>
        <v>47.16981132</v>
      </c>
      <c r="C7" s="9">
        <f t="shared" si="1"/>
        <v>50</v>
      </c>
      <c r="D7" s="10" t="b">
        <v>0</v>
      </c>
      <c r="E7" s="9">
        <v>0.0</v>
      </c>
      <c r="F7" s="14">
        <v>3.0</v>
      </c>
      <c r="G7" s="14">
        <v>2.0</v>
      </c>
      <c r="H7" s="14">
        <v>2.0</v>
      </c>
      <c r="I7" s="14">
        <v>4.0</v>
      </c>
      <c r="J7" s="14">
        <v>3.0</v>
      </c>
      <c r="K7" s="14">
        <v>2.0</v>
      </c>
      <c r="L7" s="14">
        <v>3.0</v>
      </c>
      <c r="M7" s="14">
        <v>3.0</v>
      </c>
      <c r="N7" s="14">
        <v>3.0</v>
      </c>
    </row>
    <row r="8" ht="22.5" customHeight="1">
      <c r="A8" s="7" t="s">
        <v>71</v>
      </c>
      <c r="B8" s="8">
        <f>C8/B20 * 100</f>
        <v>42.45283019</v>
      </c>
      <c r="C8" s="9">
        <f t="shared" si="1"/>
        <v>45</v>
      </c>
      <c r="D8" s="10" t="b">
        <v>0</v>
      </c>
      <c r="E8" s="9">
        <v>0.0</v>
      </c>
      <c r="F8" s="14">
        <v>3.0</v>
      </c>
      <c r="G8" s="14">
        <v>1.0</v>
      </c>
      <c r="H8" s="14">
        <v>1.0</v>
      </c>
      <c r="I8" s="14">
        <v>4.0</v>
      </c>
      <c r="J8" s="14">
        <v>3.0</v>
      </c>
      <c r="K8" s="14">
        <v>2.0</v>
      </c>
      <c r="L8" s="14">
        <v>3.0</v>
      </c>
      <c r="M8" s="14">
        <v>3.0</v>
      </c>
      <c r="N8" s="14">
        <v>3.0</v>
      </c>
    </row>
    <row r="9" ht="22.5" customHeight="1">
      <c r="A9" s="3" t="s">
        <v>32</v>
      </c>
      <c r="B9" s="4">
        <f>MEDIAN(Tabela_5[Nota Final (%)])</f>
        <v>47.16981132</v>
      </c>
      <c r="C9" s="5">
        <f>MEDIAN(Tabela_5[Pontos Totais (max 106)])</f>
        <v>50</v>
      </c>
      <c r="D9" s="3"/>
      <c r="E9" s="4">
        <f>AVERAGE(Tabela_5[Qualidade Áudio])</f>
        <v>0</v>
      </c>
      <c r="F9" s="4">
        <f>AVERAGE(Tabela_5[Resolução])</f>
        <v>2.714285714</v>
      </c>
      <c r="G9" s="4">
        <f>AVERAGE(Tabela_5[Qualidade Visual])</f>
        <v>2.142857143</v>
      </c>
      <c r="H9" s="4">
        <f>AVERAGE(Tabela_5[Permanência Objetos])</f>
        <v>1.857142857</v>
      </c>
      <c r="I9" s="4">
        <f>AVERAGE(Tabela_5[Enquadramento])</f>
        <v>4</v>
      </c>
      <c r="J9" s="4">
        <f>AVERAGE(Tabela_5[Estabilidade Temporal])</f>
        <v>3</v>
      </c>
      <c r="K9" s="4">
        <f>AVERAGE(Tabela_5[Alinhamento Prompt])</f>
        <v>2.714285714</v>
      </c>
      <c r="L9" s="5">
        <f>AVERAGE(Tabela_5[Utilidade])</f>
        <v>3</v>
      </c>
      <c r="M9" s="4">
        <f>AVERAGE(Tabela_5[Loop])</f>
        <v>3</v>
      </c>
      <c r="N9" s="5">
        <f>AVERAGE(Tabela_5[Tamanho Prompt])</f>
        <v>3</v>
      </c>
    </row>
    <row r="20">
      <c r="A20" s="11" t="s">
        <v>33</v>
      </c>
      <c r="B20" s="12">
        <f> 1 + (5 * E20) + (5 * F20) + (5 * G20) + (5 * H20) + (5 * I20) + (5 * J20) + (5 * K20) + (5* L20) + (5* M20) + (5* N20)</f>
        <v>106</v>
      </c>
      <c r="C20" s="11" t="s">
        <v>34</v>
      </c>
      <c r="D20" s="13">
        <v>1.0</v>
      </c>
      <c r="E20" s="13">
        <v>2.0</v>
      </c>
      <c r="F20" s="13">
        <v>1.0</v>
      </c>
      <c r="G20" s="13">
        <v>2.0</v>
      </c>
      <c r="H20" s="13">
        <v>3.0</v>
      </c>
      <c r="I20" s="13">
        <v>1.0</v>
      </c>
      <c r="J20" s="13">
        <v>3.0</v>
      </c>
      <c r="K20" s="13">
        <v>3.0</v>
      </c>
      <c r="L20" s="13">
        <v>3.0</v>
      </c>
      <c r="M20" s="13">
        <v>1.0</v>
      </c>
      <c r="N20" s="13">
        <v>2.0</v>
      </c>
    </row>
    <row r="21">
      <c r="D21" s="13">
        <v>1.0</v>
      </c>
      <c r="E21" s="13">
        <v>2.0</v>
      </c>
      <c r="F21" s="13">
        <v>1.0</v>
      </c>
      <c r="G21" s="13">
        <v>2.0</v>
      </c>
      <c r="H21" s="13">
        <v>3.0</v>
      </c>
      <c r="I21" s="13">
        <v>1.0</v>
      </c>
      <c r="J21" s="13">
        <v>3.0</v>
      </c>
      <c r="K21" s="13">
        <v>3.0</v>
      </c>
      <c r="L21" s="13">
        <v>3.0</v>
      </c>
      <c r="M21" s="13">
        <v>1.0</v>
      </c>
      <c r="N21" s="13">
        <v>2.0</v>
      </c>
    </row>
    <row r="22">
      <c r="D22" s="13">
        <v>1.0</v>
      </c>
      <c r="E22" s="13">
        <v>2.0</v>
      </c>
      <c r="F22" s="13">
        <v>1.0</v>
      </c>
      <c r="G22" s="13">
        <v>2.0</v>
      </c>
      <c r="H22" s="13">
        <v>3.0</v>
      </c>
      <c r="I22" s="13">
        <v>1.0</v>
      </c>
      <c r="J22" s="13">
        <v>3.0</v>
      </c>
      <c r="K22" s="13">
        <v>3.0</v>
      </c>
      <c r="L22" s="13">
        <v>3.0</v>
      </c>
      <c r="M22" s="13">
        <v>1.0</v>
      </c>
      <c r="N22" s="13">
        <v>2.0</v>
      </c>
    </row>
    <row r="23">
      <c r="D23" s="13">
        <v>1.0</v>
      </c>
      <c r="E23" s="13">
        <v>2.0</v>
      </c>
      <c r="F23" s="13">
        <v>1.0</v>
      </c>
      <c r="G23" s="13">
        <v>2.0</v>
      </c>
      <c r="H23" s="13">
        <v>3.0</v>
      </c>
      <c r="I23" s="13">
        <v>1.0</v>
      </c>
      <c r="J23" s="13">
        <v>3.0</v>
      </c>
      <c r="K23" s="13">
        <v>3.0</v>
      </c>
      <c r="L23" s="13">
        <v>3.0</v>
      </c>
      <c r="M23" s="13">
        <v>1.0</v>
      </c>
      <c r="N23" s="13">
        <v>2.0</v>
      </c>
    </row>
    <row r="24">
      <c r="D24" s="13">
        <v>1.0</v>
      </c>
      <c r="E24" s="13">
        <v>2.0</v>
      </c>
      <c r="F24" s="13">
        <v>1.0</v>
      </c>
      <c r="G24" s="13">
        <v>2.0</v>
      </c>
      <c r="H24" s="13">
        <v>3.0</v>
      </c>
      <c r="I24" s="13">
        <v>1.0</v>
      </c>
      <c r="J24" s="13">
        <v>3.0</v>
      </c>
      <c r="K24" s="13">
        <v>3.0</v>
      </c>
      <c r="L24" s="13">
        <v>3.0</v>
      </c>
      <c r="M24" s="13">
        <v>1.0</v>
      </c>
      <c r="N24" s="13">
        <v>2.0</v>
      </c>
    </row>
    <row r="25">
      <c r="D25" s="13">
        <v>1.0</v>
      </c>
      <c r="E25" s="13">
        <v>2.0</v>
      </c>
      <c r="F25" s="13">
        <v>1.0</v>
      </c>
      <c r="G25" s="13">
        <v>2.0</v>
      </c>
      <c r="H25" s="13">
        <v>3.0</v>
      </c>
      <c r="I25" s="13">
        <v>1.0</v>
      </c>
      <c r="J25" s="13">
        <v>3.0</v>
      </c>
      <c r="K25" s="13">
        <v>3.0</v>
      </c>
      <c r="L25" s="13">
        <v>3.0</v>
      </c>
      <c r="M25" s="13">
        <v>1.0</v>
      </c>
      <c r="N25" s="13">
        <v>2.0</v>
      </c>
    </row>
    <row r="26">
      <c r="D26" s="13">
        <v>1.0</v>
      </c>
      <c r="E26" s="13">
        <v>2.0</v>
      </c>
      <c r="F26" s="13">
        <v>1.0</v>
      </c>
      <c r="G26" s="13">
        <v>2.0</v>
      </c>
      <c r="H26" s="13">
        <v>3.0</v>
      </c>
      <c r="I26" s="13">
        <v>1.0</v>
      </c>
      <c r="J26" s="13">
        <v>3.0</v>
      </c>
      <c r="K26" s="13">
        <v>3.0</v>
      </c>
      <c r="L26" s="13">
        <v>3.0</v>
      </c>
      <c r="M26" s="13">
        <v>1.0</v>
      </c>
      <c r="N26" s="13">
        <v>2.0</v>
      </c>
    </row>
  </sheetData>
  <dataValidations>
    <dataValidation type="list" allowBlank="1" sqref="D2:D8">
      <formula1>"True,False"</formula1>
    </dataValidation>
    <dataValidation type="custom" allowBlank="1" showDropDown="1" sqref="B2:C8 E2:N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6.88"/>
    <col customWidth="1" min="3" max="3" width="25.5"/>
    <col customWidth="1" min="4" max="4" width="17.13"/>
    <col customWidth="1" min="5" max="5" width="22.25"/>
    <col customWidth="1" min="6" max="6" width="17.0"/>
    <col customWidth="1" min="7" max="7" width="22.38"/>
    <col customWidth="1" min="8" max="8" width="26.13"/>
    <col customWidth="1" min="9" max="9" width="21.88"/>
    <col customWidth="1" min="10" max="10" width="26.63"/>
    <col customWidth="1" min="11" max="11" width="25.75"/>
    <col customWidth="1" min="12" max="12" width="16.13"/>
    <col customWidth="1" min="13" max="13" width="13.88"/>
    <col customWidth="1" min="14" max="14" width="22.75"/>
    <col customWidth="1" min="15" max="26" width="13.88"/>
  </cols>
  <sheetData>
    <row r="1" ht="22.5" customHeight="1">
      <c r="A1" s="1" t="s">
        <v>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7" t="s">
        <v>72</v>
      </c>
      <c r="B2" s="8">
        <f>C2/B21 * 100</f>
        <v>62.26415094</v>
      </c>
      <c r="C2" s="9">
        <f>IF(D2, 1, 0) + (E2 * E21) + (F2 * F21) + (G2 * G21) + (H2 * H21) + (I2 * I21) + (J2 * J21) + (K2 * K21) + (L2 * L21) + (M2 * M21) + (N2 * N21)</f>
        <v>66</v>
      </c>
      <c r="D2" s="10" t="b">
        <v>0</v>
      </c>
      <c r="E2" s="9">
        <v>0.0</v>
      </c>
      <c r="F2" s="14">
        <v>3.0</v>
      </c>
      <c r="G2" s="14">
        <v>3.0</v>
      </c>
      <c r="H2" s="14">
        <v>3.0</v>
      </c>
      <c r="I2" s="14">
        <v>1.0</v>
      </c>
      <c r="J2" s="14">
        <v>4.0</v>
      </c>
      <c r="K2" s="14">
        <v>3.0</v>
      </c>
      <c r="L2" s="14">
        <v>5.0</v>
      </c>
      <c r="M2" s="14">
        <v>3.0</v>
      </c>
      <c r="N2" s="14">
        <v>4.0</v>
      </c>
    </row>
    <row r="3" ht="22.5" customHeight="1">
      <c r="A3" s="7" t="s">
        <v>73</v>
      </c>
      <c r="B3" s="8">
        <f>C3/B21 * 100</f>
        <v>72.64150943</v>
      </c>
      <c r="C3" s="9">
        <f t="shared" ref="C3:C9" si="1">IF(D3, 1, 0) + (E3 * E21) + (F3 * F21) + (G3 * G21) + (H3 * H21) + (I3 * I21) + (J3 * J21) + (K3 * K21) + (L3 * L21) + (M3 * M21) + (N3 * N21)</f>
        <v>77</v>
      </c>
      <c r="D3" s="10" t="b">
        <v>0</v>
      </c>
      <c r="E3" s="9">
        <v>0.0</v>
      </c>
      <c r="F3" s="14">
        <v>2.0</v>
      </c>
      <c r="G3" s="14">
        <v>4.0</v>
      </c>
      <c r="H3" s="14">
        <v>4.0</v>
      </c>
      <c r="I3" s="14">
        <v>5.0</v>
      </c>
      <c r="J3" s="14">
        <v>3.0</v>
      </c>
      <c r="K3" s="14">
        <v>5.0</v>
      </c>
      <c r="L3" s="14">
        <v>5.0</v>
      </c>
      <c r="M3" s="14">
        <v>3.0</v>
      </c>
      <c r="N3" s="14">
        <v>4.0</v>
      </c>
    </row>
    <row r="4" ht="22.5" customHeight="1">
      <c r="A4" s="7" t="s">
        <v>74</v>
      </c>
      <c r="B4" s="8">
        <f>C4/B21 * 100</f>
        <v>69.81132075</v>
      </c>
      <c r="C4" s="9">
        <f t="shared" si="1"/>
        <v>74</v>
      </c>
      <c r="D4" s="10" t="b">
        <v>0</v>
      </c>
      <c r="E4" s="9">
        <v>0.0</v>
      </c>
      <c r="F4" s="14">
        <v>2.0</v>
      </c>
      <c r="G4" s="14">
        <v>4.0</v>
      </c>
      <c r="H4" s="14">
        <v>4.0</v>
      </c>
      <c r="I4" s="14">
        <v>5.0</v>
      </c>
      <c r="J4" s="14">
        <v>3.0</v>
      </c>
      <c r="K4" s="14">
        <v>4.0</v>
      </c>
      <c r="L4" s="14">
        <v>5.0</v>
      </c>
      <c r="M4" s="14">
        <v>3.0</v>
      </c>
      <c r="N4" s="14">
        <v>4.0</v>
      </c>
    </row>
    <row r="5" ht="22.5" customHeight="1">
      <c r="A5" s="7" t="s">
        <v>75</v>
      </c>
      <c r="B5" s="8">
        <f>C5/B21 * 100</f>
        <v>57.54716981</v>
      </c>
      <c r="C5" s="9">
        <f t="shared" si="1"/>
        <v>61</v>
      </c>
      <c r="D5" s="10" t="b">
        <v>0</v>
      </c>
      <c r="E5" s="9">
        <v>0.0</v>
      </c>
      <c r="F5" s="14">
        <v>2.0</v>
      </c>
      <c r="G5" s="14">
        <v>3.0</v>
      </c>
      <c r="H5" s="14">
        <v>2.0</v>
      </c>
      <c r="I5" s="14">
        <v>3.0</v>
      </c>
      <c r="J5" s="14">
        <v>3.0</v>
      </c>
      <c r="K5" s="14">
        <v>3.0</v>
      </c>
      <c r="L5" s="14">
        <v>5.0</v>
      </c>
      <c r="M5" s="14">
        <v>3.0</v>
      </c>
      <c r="N5" s="14">
        <v>4.0</v>
      </c>
    </row>
    <row r="6" ht="22.5" customHeight="1">
      <c r="A6" s="7" t="s">
        <v>76</v>
      </c>
      <c r="B6" s="8">
        <f>C6/B21 * 100</f>
        <v>69.81132075</v>
      </c>
      <c r="C6" s="9">
        <f t="shared" si="1"/>
        <v>74</v>
      </c>
      <c r="D6" s="10" t="b">
        <v>0</v>
      </c>
      <c r="E6" s="9">
        <v>0.0</v>
      </c>
      <c r="F6" s="14">
        <v>3.0</v>
      </c>
      <c r="G6" s="14">
        <v>4.0</v>
      </c>
      <c r="H6" s="14">
        <v>4.0</v>
      </c>
      <c r="I6" s="14">
        <v>4.0</v>
      </c>
      <c r="J6" s="14">
        <v>3.0</v>
      </c>
      <c r="K6" s="14">
        <v>4.0</v>
      </c>
      <c r="L6" s="14">
        <v>5.0</v>
      </c>
      <c r="M6" s="14">
        <v>3.0</v>
      </c>
      <c r="N6" s="14">
        <v>4.0</v>
      </c>
    </row>
    <row r="7" ht="22.5" customHeight="1">
      <c r="A7" s="7" t="s">
        <v>77</v>
      </c>
      <c r="B7" s="8">
        <f>C7/B21 * 100</f>
        <v>66.98113208</v>
      </c>
      <c r="C7" s="9">
        <f t="shared" si="1"/>
        <v>71</v>
      </c>
      <c r="D7" s="10" t="b">
        <v>0</v>
      </c>
      <c r="E7" s="9">
        <v>0.0</v>
      </c>
      <c r="F7" s="14">
        <v>3.0</v>
      </c>
      <c r="G7" s="14">
        <v>2.0</v>
      </c>
      <c r="H7" s="14">
        <v>3.0</v>
      </c>
      <c r="I7" s="14">
        <v>5.0</v>
      </c>
      <c r="J7" s="14">
        <v>3.0</v>
      </c>
      <c r="K7" s="14">
        <v>5.0</v>
      </c>
      <c r="L7" s="14">
        <v>5.0</v>
      </c>
      <c r="M7" s="14">
        <v>3.0</v>
      </c>
      <c r="N7" s="14">
        <v>4.0</v>
      </c>
    </row>
    <row r="8" ht="22.5" customHeight="1">
      <c r="A8" s="7" t="s">
        <v>78</v>
      </c>
      <c r="B8" s="8">
        <f>C8/B21 * 100</f>
        <v>64.1509434</v>
      </c>
      <c r="C8" s="9">
        <f t="shared" si="1"/>
        <v>68</v>
      </c>
      <c r="D8" s="10" t="b">
        <v>0</v>
      </c>
      <c r="E8" s="9">
        <v>0.0</v>
      </c>
      <c r="F8" s="14">
        <v>3.0</v>
      </c>
      <c r="G8" s="14">
        <v>4.0</v>
      </c>
      <c r="H8" s="14">
        <v>2.0</v>
      </c>
      <c r="I8" s="14">
        <v>4.0</v>
      </c>
      <c r="J8" s="14">
        <v>3.0</v>
      </c>
      <c r="K8" s="14">
        <v>4.0</v>
      </c>
      <c r="L8" s="14">
        <v>5.0</v>
      </c>
      <c r="M8" s="14">
        <v>3.0</v>
      </c>
      <c r="N8" s="14">
        <v>4.0</v>
      </c>
    </row>
    <row r="9" ht="22.5" customHeight="1">
      <c r="A9" s="7" t="s">
        <v>79</v>
      </c>
      <c r="B9" s="8">
        <f>C9/B21 * 100</f>
        <v>65.09433962</v>
      </c>
      <c r="C9" s="9">
        <f t="shared" si="1"/>
        <v>69</v>
      </c>
      <c r="D9" s="10" t="b">
        <v>0</v>
      </c>
      <c r="E9" s="9">
        <v>0.0</v>
      </c>
      <c r="F9" s="14">
        <v>3.0</v>
      </c>
      <c r="G9" s="14">
        <v>3.0</v>
      </c>
      <c r="H9" s="14">
        <v>2.0</v>
      </c>
      <c r="I9" s="14">
        <v>4.0</v>
      </c>
      <c r="J9" s="14">
        <v>3.0</v>
      </c>
      <c r="K9" s="14">
        <v>5.0</v>
      </c>
      <c r="L9" s="14">
        <v>5.0</v>
      </c>
      <c r="M9" s="14">
        <v>3.0</v>
      </c>
      <c r="N9" s="14">
        <v>4.0</v>
      </c>
    </row>
    <row r="10" ht="22.5" customHeight="1">
      <c r="A10" s="3" t="s">
        <v>32</v>
      </c>
      <c r="B10" s="4">
        <f>MEDIAN(Tabela_6[Nota Final (%)])</f>
        <v>66.03773585</v>
      </c>
      <c r="C10" s="5">
        <f>MEDIAN(Tabela_6[Pontos Totais (max 106)])</f>
        <v>70</v>
      </c>
      <c r="D10" s="3"/>
      <c r="E10" s="4">
        <f>AVERAGE(Tabela_6[Qualidade Áudio])</f>
        <v>0</v>
      </c>
      <c r="F10" s="4">
        <f>AVERAGE(Tabela_6[Resolução])</f>
        <v>2.625</v>
      </c>
      <c r="G10" s="4">
        <f>AVERAGE(Tabela_6[Qualidade Visual])</f>
        <v>3.375</v>
      </c>
      <c r="H10" s="4">
        <f>AVERAGE(Tabela_6[Permanência Objetos])</f>
        <v>3</v>
      </c>
      <c r="I10" s="4">
        <f>AVERAGE(Tabela_6[Enquadramento])</f>
        <v>3.875</v>
      </c>
      <c r="J10" s="4">
        <f>AVERAGE(Tabela_6[Estabilidade Temporal])</f>
        <v>3.125</v>
      </c>
      <c r="K10" s="4">
        <f>AVERAGE(Tabela_6[Alinhamento Prompt])</f>
        <v>4.125</v>
      </c>
      <c r="L10" s="5">
        <f>AVERAGE(Tabela_6[Utilidade])</f>
        <v>5</v>
      </c>
      <c r="M10" s="4">
        <f>AVERAGE(Tabela_6[Loop])</f>
        <v>3</v>
      </c>
      <c r="N10" s="5">
        <f>AVERAGE(Tabela_6[Tamanho Prompt])</f>
        <v>4</v>
      </c>
    </row>
    <row r="21">
      <c r="A21" s="11" t="s">
        <v>33</v>
      </c>
      <c r="B21" s="12">
        <f> 1 + (5 * E21) + (5 * F21) + (5 * G21) + (5 * H21) + (5 * I21) + (5 * J21) + (5 * K21) + (5* L21) + (5* M21) + (5* N21)</f>
        <v>106</v>
      </c>
      <c r="C21" s="11" t="s">
        <v>34</v>
      </c>
      <c r="D21" s="13">
        <v>1.0</v>
      </c>
      <c r="E21" s="13">
        <v>2.0</v>
      </c>
      <c r="F21" s="13">
        <v>1.0</v>
      </c>
      <c r="G21" s="13">
        <v>2.0</v>
      </c>
      <c r="H21" s="13">
        <v>3.0</v>
      </c>
      <c r="I21" s="13">
        <v>1.0</v>
      </c>
      <c r="J21" s="13">
        <v>3.0</v>
      </c>
      <c r="K21" s="13">
        <v>3.0</v>
      </c>
      <c r="L21" s="13">
        <v>3.0</v>
      </c>
      <c r="M21" s="13">
        <v>1.0</v>
      </c>
      <c r="N21" s="13">
        <v>2.0</v>
      </c>
    </row>
    <row r="22">
      <c r="D22" s="13">
        <v>1.0</v>
      </c>
      <c r="E22" s="13">
        <v>2.0</v>
      </c>
      <c r="F22" s="13">
        <v>1.0</v>
      </c>
      <c r="G22" s="13">
        <v>2.0</v>
      </c>
      <c r="H22" s="13">
        <v>3.0</v>
      </c>
      <c r="I22" s="13">
        <v>1.0</v>
      </c>
      <c r="J22" s="13">
        <v>3.0</v>
      </c>
      <c r="K22" s="13">
        <v>3.0</v>
      </c>
      <c r="L22" s="13">
        <v>3.0</v>
      </c>
      <c r="M22" s="13">
        <v>1.0</v>
      </c>
      <c r="N22" s="13">
        <v>2.0</v>
      </c>
    </row>
    <row r="23">
      <c r="D23" s="13">
        <v>1.0</v>
      </c>
      <c r="E23" s="13">
        <v>2.0</v>
      </c>
      <c r="F23" s="13">
        <v>1.0</v>
      </c>
      <c r="G23" s="13">
        <v>2.0</v>
      </c>
      <c r="H23" s="13">
        <v>3.0</v>
      </c>
      <c r="I23" s="13">
        <v>1.0</v>
      </c>
      <c r="J23" s="13">
        <v>3.0</v>
      </c>
      <c r="K23" s="13">
        <v>3.0</v>
      </c>
      <c r="L23" s="13">
        <v>3.0</v>
      </c>
      <c r="M23" s="13">
        <v>1.0</v>
      </c>
      <c r="N23" s="13">
        <v>2.0</v>
      </c>
    </row>
    <row r="24">
      <c r="D24" s="13">
        <v>1.0</v>
      </c>
      <c r="E24" s="13">
        <v>2.0</v>
      </c>
      <c r="F24" s="13">
        <v>1.0</v>
      </c>
      <c r="G24" s="13">
        <v>2.0</v>
      </c>
      <c r="H24" s="13">
        <v>3.0</v>
      </c>
      <c r="I24" s="13">
        <v>1.0</v>
      </c>
      <c r="J24" s="13">
        <v>3.0</v>
      </c>
      <c r="K24" s="13">
        <v>3.0</v>
      </c>
      <c r="L24" s="13">
        <v>3.0</v>
      </c>
      <c r="M24" s="13">
        <v>1.0</v>
      </c>
      <c r="N24" s="13">
        <v>2.0</v>
      </c>
    </row>
    <row r="25">
      <c r="D25" s="13">
        <v>1.0</v>
      </c>
      <c r="E25" s="13">
        <v>2.0</v>
      </c>
      <c r="F25" s="13">
        <v>1.0</v>
      </c>
      <c r="G25" s="13">
        <v>2.0</v>
      </c>
      <c r="H25" s="13">
        <v>3.0</v>
      </c>
      <c r="I25" s="13">
        <v>1.0</v>
      </c>
      <c r="J25" s="13">
        <v>3.0</v>
      </c>
      <c r="K25" s="13">
        <v>3.0</v>
      </c>
      <c r="L25" s="13">
        <v>3.0</v>
      </c>
      <c r="M25" s="13">
        <v>1.0</v>
      </c>
      <c r="N25" s="13">
        <v>2.0</v>
      </c>
    </row>
    <row r="26">
      <c r="D26" s="13">
        <v>1.0</v>
      </c>
      <c r="E26" s="13">
        <v>2.0</v>
      </c>
      <c r="F26" s="13">
        <v>1.0</v>
      </c>
      <c r="G26" s="13">
        <v>2.0</v>
      </c>
      <c r="H26" s="13">
        <v>3.0</v>
      </c>
      <c r="I26" s="13">
        <v>1.0</v>
      </c>
      <c r="J26" s="13">
        <v>3.0</v>
      </c>
      <c r="K26" s="13">
        <v>3.0</v>
      </c>
      <c r="L26" s="13">
        <v>3.0</v>
      </c>
      <c r="M26" s="13">
        <v>1.0</v>
      </c>
      <c r="N26" s="13">
        <v>2.0</v>
      </c>
    </row>
    <row r="27">
      <c r="D27" s="13">
        <v>1.0</v>
      </c>
      <c r="E27" s="13">
        <v>2.0</v>
      </c>
      <c r="F27" s="13">
        <v>1.0</v>
      </c>
      <c r="G27" s="13">
        <v>2.0</v>
      </c>
      <c r="H27" s="13">
        <v>3.0</v>
      </c>
      <c r="I27" s="13">
        <v>1.0</v>
      </c>
      <c r="J27" s="13">
        <v>3.0</v>
      </c>
      <c r="K27" s="13">
        <v>3.0</v>
      </c>
      <c r="L27" s="13">
        <v>3.0</v>
      </c>
      <c r="M27" s="13">
        <v>1.0</v>
      </c>
      <c r="N27" s="13">
        <v>2.0</v>
      </c>
    </row>
  </sheetData>
  <dataValidations>
    <dataValidation type="list" allowBlank="1" sqref="D2:D9">
      <formula1>"True,False"</formula1>
    </dataValidation>
    <dataValidation type="custom" allowBlank="1" showDropDown="1" sqref="B2:C9 E2:N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